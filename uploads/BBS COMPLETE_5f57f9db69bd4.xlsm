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BBSFormat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New folder (2)\BBS\"/>
    </mc:Choice>
  </mc:AlternateContent>
  <bookViews>
    <workbookView xWindow="480" yWindow="150" windowWidth="16530" windowHeight="7935" tabRatio="925"/>
  </bookViews>
  <sheets>
    <sheet name="Sheet(3)" sheetId="14" r:id="rId1"/>
    <sheet name="Sheet()" sheetId="5" state="veryHidden" r:id="rId2"/>
  </sheets>
  <functionGroups builtInGroupCount="18"/>
  <definedNames>
    <definedName name="_xlnm.Print_Area" localSheetId="1">'Sheet()'!$V$1:$AE$20,'Sheet()'!$A:$T</definedName>
    <definedName name="_xlnm.Print_Area" localSheetId="0">'Sheet(3)'!$V$1:$AE$111,'Sheet(3)'!$A:$T</definedName>
    <definedName name="_xlnm.Print_Titles" localSheetId="1">'Sheet()'!$1:$2</definedName>
    <definedName name="_xlnm.Print_Titles" localSheetId="0">'Sheet(3)'!$1:$2</definedName>
  </definedNames>
  <calcPr calcId="152511"/>
</workbook>
</file>

<file path=xl/calcChain.xml><?xml version="1.0" encoding="utf-8"?>
<calcChain xmlns="http://schemas.openxmlformats.org/spreadsheetml/2006/main">
  <c r="G202" i="14" l="1"/>
  <c r="G201" i="14"/>
  <c r="T201" i="14" s="1"/>
  <c r="T202" i="14"/>
  <c r="F202" i="14"/>
  <c r="K203" i="14"/>
  <c r="G203" i="14" s="1"/>
  <c r="G200" i="14"/>
  <c r="G199" i="14"/>
  <c r="G198" i="14"/>
  <c r="G197" i="14"/>
  <c r="T197" i="14"/>
  <c r="F197" i="14"/>
  <c r="T200" i="14"/>
  <c r="F203" i="14"/>
  <c r="F201" i="14"/>
  <c r="F200" i="14"/>
  <c r="T199" i="14"/>
  <c r="F199" i="14"/>
  <c r="T198" i="14"/>
  <c r="F198" i="14"/>
  <c r="K196" i="14"/>
  <c r="G196" i="14" s="1"/>
  <c r="G195" i="14"/>
  <c r="T195" i="14" s="1"/>
  <c r="G194" i="14"/>
  <c r="G193" i="14"/>
  <c r="T193" i="14" s="1"/>
  <c r="G192" i="14"/>
  <c r="T192" i="14" s="1"/>
  <c r="G191" i="14"/>
  <c r="G190" i="14"/>
  <c r="T190" i="14" s="1"/>
  <c r="G189" i="14"/>
  <c r="G188" i="14"/>
  <c r="G187" i="14"/>
  <c r="G186" i="14"/>
  <c r="F195" i="14"/>
  <c r="T194" i="14"/>
  <c r="F194" i="14"/>
  <c r="F193" i="14"/>
  <c r="F192" i="14"/>
  <c r="T191" i="14"/>
  <c r="F191" i="14"/>
  <c r="F190" i="14"/>
  <c r="T189" i="14"/>
  <c r="F189" i="14"/>
  <c r="K185" i="14"/>
  <c r="G185" i="14" s="1"/>
  <c r="T185" i="14" s="1"/>
  <c r="F185" i="14"/>
  <c r="G184" i="14"/>
  <c r="G183" i="14"/>
  <c r="G181" i="14"/>
  <c r="G180" i="14"/>
  <c r="G182" i="14"/>
  <c r="T182" i="14" s="1"/>
  <c r="F182" i="14"/>
  <c r="G178" i="14"/>
  <c r="T178" i="14" s="1"/>
  <c r="F178" i="14"/>
  <c r="G177" i="14"/>
  <c r="T177" i="14" s="1"/>
  <c r="G176" i="14"/>
  <c r="T176" i="14" s="1"/>
  <c r="F177" i="14"/>
  <c r="F176" i="14"/>
  <c r="G175" i="14"/>
  <c r="G174" i="14"/>
  <c r="G172" i="14"/>
  <c r="T172" i="14" s="1"/>
  <c r="F172" i="14"/>
  <c r="G171" i="14"/>
  <c r="T171" i="14" s="1"/>
  <c r="F171" i="14"/>
  <c r="G170" i="14"/>
  <c r="G169" i="14"/>
  <c r="T203" i="14" l="1"/>
  <c r="G17" i="14"/>
  <c r="G29" i="14"/>
  <c r="G167" i="14" l="1"/>
  <c r="G144" i="14"/>
  <c r="T144" i="14"/>
  <c r="F144" i="14"/>
  <c r="G146" i="14"/>
  <c r="T146" i="14" s="1"/>
  <c r="F146" i="14"/>
  <c r="G134" i="14"/>
  <c r="T134" i="14" s="1"/>
  <c r="F134" i="14"/>
  <c r="T167" i="14"/>
  <c r="F167" i="14"/>
  <c r="G22" i="14"/>
  <c r="T22" i="14" s="1"/>
  <c r="G21" i="14"/>
  <c r="T21" i="14" s="1"/>
  <c r="F22" i="14"/>
  <c r="F21" i="14"/>
  <c r="G425" i="14"/>
  <c r="T425" i="14" s="1"/>
  <c r="K424" i="14"/>
  <c r="G424" i="14" s="1"/>
  <c r="T424" i="14" s="1"/>
  <c r="G423" i="14"/>
  <c r="T423" i="14" s="1"/>
  <c r="K422" i="14"/>
  <c r="G422" i="14" s="1"/>
  <c r="T422" i="14" s="1"/>
  <c r="G421" i="14"/>
  <c r="T421" i="14" s="1"/>
  <c r="G420" i="14"/>
  <c r="T420" i="14" s="1"/>
  <c r="G419" i="14"/>
  <c r="T419" i="14" s="1"/>
  <c r="G418" i="14"/>
  <c r="T418" i="14" s="1"/>
  <c r="G417" i="14"/>
  <c r="T417" i="14" s="1"/>
  <c r="G416" i="14"/>
  <c r="T416" i="14" s="1"/>
  <c r="G415" i="14"/>
  <c r="T415" i="14" s="1"/>
  <c r="K414" i="14"/>
  <c r="G414" i="14" s="1"/>
  <c r="T414" i="14" s="1"/>
  <c r="K426" i="14"/>
  <c r="G426" i="14" s="1"/>
  <c r="T426" i="14" s="1"/>
  <c r="F426" i="14"/>
  <c r="F425" i="14"/>
  <c r="F424" i="14"/>
  <c r="F423" i="14"/>
  <c r="F422" i="14"/>
  <c r="F421" i="14"/>
  <c r="F420" i="14"/>
  <c r="F419" i="14"/>
  <c r="F418" i="14"/>
  <c r="F417" i="14"/>
  <c r="F416" i="14"/>
  <c r="F415" i="14"/>
  <c r="F414" i="14"/>
  <c r="G413" i="14"/>
  <c r="T413" i="14" s="1"/>
  <c r="G412" i="14"/>
  <c r="T412" i="14" s="1"/>
  <c r="G411" i="14"/>
  <c r="T411" i="14" s="1"/>
  <c r="G410" i="14"/>
  <c r="T410" i="14" s="1"/>
  <c r="G409" i="14"/>
  <c r="T409" i="14" s="1"/>
  <c r="G408" i="14"/>
  <c r="T408" i="14" s="1"/>
  <c r="G407" i="14"/>
  <c r="T407" i="14" s="1"/>
  <c r="G406" i="14"/>
  <c r="T406" i="14" s="1"/>
  <c r="G405" i="14"/>
  <c r="T405" i="14" s="1"/>
  <c r="G404" i="14"/>
  <c r="T404" i="14" s="1"/>
  <c r="G403" i="14"/>
  <c r="T403" i="14" s="1"/>
  <c r="G402" i="14"/>
  <c r="T402" i="14" s="1"/>
  <c r="G401" i="14"/>
  <c r="T401" i="14" s="1"/>
  <c r="G400" i="14"/>
  <c r="T400" i="14" s="1"/>
  <c r="G399" i="14"/>
  <c r="T399" i="14" s="1"/>
  <c r="G398" i="14"/>
  <c r="T398" i="14" s="1"/>
  <c r="G397" i="14"/>
  <c r="T397" i="14" s="1"/>
  <c r="G396" i="14"/>
  <c r="T396" i="14" s="1"/>
  <c r="G395" i="14"/>
  <c r="T395" i="14" s="1"/>
  <c r="G394" i="14"/>
  <c r="T394" i="14" s="1"/>
  <c r="G393" i="14"/>
  <c r="T393" i="14" s="1"/>
  <c r="G392" i="14"/>
  <c r="T392" i="14" s="1"/>
  <c r="K391" i="14"/>
  <c r="G391" i="14" s="1"/>
  <c r="T391" i="14" s="1"/>
  <c r="G390" i="14"/>
  <c r="T390" i="14" s="1"/>
  <c r="G389" i="14"/>
  <c r="T389" i="14" s="1"/>
  <c r="G388" i="14"/>
  <c r="T388" i="14" s="1"/>
  <c r="G387" i="14"/>
  <c r="T387" i="14" s="1"/>
  <c r="G386" i="14"/>
  <c r="T386" i="14" s="1"/>
  <c r="G385" i="14"/>
  <c r="T385" i="14" s="1"/>
  <c r="K384" i="14"/>
  <c r="G384" i="14" s="1"/>
  <c r="T384" i="14" s="1"/>
  <c r="G383" i="14"/>
  <c r="T383" i="14" s="1"/>
  <c r="F413" i="14"/>
  <c r="F412" i="14"/>
  <c r="F411" i="14"/>
  <c r="F410" i="14"/>
  <c r="F409" i="14"/>
  <c r="F408" i="14"/>
  <c r="F407" i="14"/>
  <c r="F406" i="14"/>
  <c r="F405" i="14"/>
  <c r="F404" i="14"/>
  <c r="F403" i="14"/>
  <c r="F402" i="14"/>
  <c r="F401" i="14"/>
  <c r="F400" i="14"/>
  <c r="F399" i="14"/>
  <c r="F398" i="14"/>
  <c r="F397" i="14"/>
  <c r="F396" i="14"/>
  <c r="F395" i="14"/>
  <c r="F394" i="14"/>
  <c r="F393" i="14"/>
  <c r="F392" i="14"/>
  <c r="F391" i="14"/>
  <c r="F390" i="14"/>
  <c r="F389" i="14"/>
  <c r="F388" i="14"/>
  <c r="F387" i="14"/>
  <c r="F386" i="14"/>
  <c r="F385" i="14"/>
  <c r="F384" i="14"/>
  <c r="F383" i="14"/>
  <c r="G382" i="14"/>
  <c r="G381" i="14"/>
  <c r="G380" i="14"/>
  <c r="G379" i="14"/>
  <c r="K378" i="14"/>
  <c r="G378" i="14" s="1"/>
  <c r="K377" i="14"/>
  <c r="G377" i="14" s="1"/>
  <c r="G376" i="14"/>
  <c r="G375" i="14"/>
  <c r="G374" i="14"/>
  <c r="G373" i="14"/>
  <c r="G372" i="14"/>
  <c r="G371" i="14"/>
  <c r="G370" i="14"/>
  <c r="G369" i="14"/>
  <c r="G368" i="14"/>
  <c r="G367" i="14"/>
  <c r="K366" i="14"/>
  <c r="G366" i="14" s="1"/>
  <c r="K365" i="14"/>
  <c r="G365" i="14" s="1"/>
  <c r="G364" i="14"/>
  <c r="G363" i="14"/>
  <c r="G362" i="14"/>
  <c r="G359" i="14"/>
  <c r="G361" i="14"/>
  <c r="G360" i="14"/>
  <c r="G358" i="14"/>
  <c r="G357" i="14"/>
  <c r="G356" i="14"/>
  <c r="G355" i="14"/>
  <c r="T382" i="14" l="1"/>
  <c r="F382" i="14"/>
  <c r="T381" i="14"/>
  <c r="F381" i="14"/>
  <c r="T380" i="14"/>
  <c r="F380" i="14"/>
  <c r="T379" i="14"/>
  <c r="F379" i="14"/>
  <c r="T378" i="14"/>
  <c r="F378" i="14"/>
  <c r="T377" i="14"/>
  <c r="F377" i="14"/>
  <c r="T376" i="14"/>
  <c r="F376" i="14"/>
  <c r="T375" i="14"/>
  <c r="F375" i="14"/>
  <c r="T374" i="14"/>
  <c r="F374" i="14"/>
  <c r="T373" i="14"/>
  <c r="F373" i="14"/>
  <c r="T372" i="14"/>
  <c r="F372" i="14"/>
  <c r="T371" i="14"/>
  <c r="F371" i="14"/>
  <c r="T370" i="14"/>
  <c r="F370" i="14"/>
  <c r="T369" i="14"/>
  <c r="F369" i="14"/>
  <c r="T368" i="14"/>
  <c r="F368" i="14"/>
  <c r="T367" i="14"/>
  <c r="F367" i="14"/>
  <c r="T366" i="14"/>
  <c r="F366" i="14"/>
  <c r="T365" i="14"/>
  <c r="F365" i="14"/>
  <c r="T364" i="14"/>
  <c r="F364" i="14"/>
  <c r="T363" i="14"/>
  <c r="F363" i="14"/>
  <c r="T362" i="14"/>
  <c r="F362" i="14"/>
  <c r="T361" i="14"/>
  <c r="F361" i="14"/>
  <c r="T360" i="14"/>
  <c r="F360" i="14"/>
  <c r="T359" i="14"/>
  <c r="F359" i="14"/>
  <c r="T358" i="14"/>
  <c r="F358" i="14"/>
  <c r="T357" i="14"/>
  <c r="F357" i="14"/>
  <c r="T356" i="14"/>
  <c r="F356" i="14"/>
  <c r="T355" i="14"/>
  <c r="F355" i="14"/>
  <c r="G353" i="14"/>
  <c r="F353" i="14"/>
  <c r="F354" i="14"/>
  <c r="G352" i="14"/>
  <c r="G351" i="14"/>
  <c r="G350" i="14"/>
  <c r="G349" i="14"/>
  <c r="G348" i="14"/>
  <c r="G347" i="14"/>
  <c r="F347" i="14"/>
  <c r="F348" i="14"/>
  <c r="F349" i="14"/>
  <c r="F350" i="14"/>
  <c r="F351" i="14"/>
  <c r="F352" i="14"/>
  <c r="G346" i="14"/>
  <c r="G302" i="14"/>
  <c r="K345" i="14" l="1"/>
  <c r="G345" i="14" s="1"/>
  <c r="T345" i="14" s="1"/>
  <c r="F345" i="14"/>
  <c r="G344" i="14"/>
  <c r="T344" i="14" s="1"/>
  <c r="F344" i="14"/>
  <c r="G343" i="14"/>
  <c r="T343" i="14" s="1"/>
  <c r="F343" i="14"/>
  <c r="G342" i="14"/>
  <c r="T342" i="14" s="1"/>
  <c r="F342" i="14"/>
  <c r="G341" i="14"/>
  <c r="T341" i="14" s="1"/>
  <c r="F341" i="14"/>
  <c r="F335" i="14"/>
  <c r="F336" i="14"/>
  <c r="G336" i="14"/>
  <c r="F337" i="14"/>
  <c r="G337" i="14"/>
  <c r="F338" i="14"/>
  <c r="G338" i="14"/>
  <c r="K340" i="14"/>
  <c r="G340" i="14" s="1"/>
  <c r="T340" i="14" s="1"/>
  <c r="F340" i="14"/>
  <c r="G339" i="14"/>
  <c r="K335" i="14"/>
  <c r="G335" i="14" s="1"/>
  <c r="G334" i="14"/>
  <c r="F334" i="14"/>
  <c r="F339" i="14"/>
  <c r="F346" i="14"/>
  <c r="G333" i="14"/>
  <c r="G332" i="14"/>
  <c r="G331" i="14"/>
  <c r="G329" i="14"/>
  <c r="T329" i="14" s="1"/>
  <c r="F329" i="14"/>
  <c r="G330" i="14"/>
  <c r="T335" i="14" l="1"/>
  <c r="K328" i="14"/>
  <c r="G328" i="14" s="1"/>
  <c r="G327" i="14"/>
  <c r="F327" i="14"/>
  <c r="F328" i="14"/>
  <c r="F330" i="14"/>
  <c r="F331" i="14"/>
  <c r="F332" i="14"/>
  <c r="F333" i="14"/>
  <c r="G326" i="14"/>
  <c r="G325" i="14"/>
  <c r="G324" i="14"/>
  <c r="G323" i="14"/>
  <c r="G322" i="14"/>
  <c r="G321" i="14"/>
  <c r="F321" i="14"/>
  <c r="F322" i="14"/>
  <c r="F323" i="14"/>
  <c r="F324" i="14"/>
  <c r="F325" i="14"/>
  <c r="F326" i="14"/>
  <c r="G320" i="14"/>
  <c r="G319" i="14"/>
  <c r="G318" i="14"/>
  <c r="G317" i="14"/>
  <c r="G316" i="14"/>
  <c r="G315" i="14"/>
  <c r="F315" i="14"/>
  <c r="F316" i="14"/>
  <c r="F317" i="14"/>
  <c r="F318" i="14"/>
  <c r="F319" i="14"/>
  <c r="F320" i="14"/>
  <c r="G314" i="14"/>
  <c r="T314" i="14" l="1"/>
  <c r="G313" i="14"/>
  <c r="T313" i="14" s="1"/>
  <c r="G312" i="14"/>
  <c r="T312" i="14" s="1"/>
  <c r="G311" i="14"/>
  <c r="T311" i="14" s="1"/>
  <c r="G310" i="14"/>
  <c r="G309" i="14"/>
  <c r="T309" i="14" s="1"/>
  <c r="F309" i="14"/>
  <c r="F310" i="14"/>
  <c r="F311" i="14"/>
  <c r="F312" i="14"/>
  <c r="F313" i="14"/>
  <c r="F314" i="14"/>
  <c r="K308" i="14"/>
  <c r="G308" i="14" s="1"/>
  <c r="T308" i="14" s="1"/>
  <c r="G307" i="14"/>
  <c r="T307" i="14" s="1"/>
  <c r="K298" i="14"/>
  <c r="G298" i="14" s="1"/>
  <c r="T298" i="14" s="1"/>
  <c r="F298" i="14"/>
  <c r="K306" i="14"/>
  <c r="G306" i="14" s="1"/>
  <c r="T306" i="14" s="1"/>
  <c r="G305" i="14"/>
  <c r="T305" i="14" s="1"/>
  <c r="G304" i="14"/>
  <c r="G303" i="14"/>
  <c r="T303" i="14" s="1"/>
  <c r="T302" i="14"/>
  <c r="F303" i="14"/>
  <c r="F304" i="14"/>
  <c r="F305" i="14"/>
  <c r="F306" i="14"/>
  <c r="F307" i="14"/>
  <c r="F308" i="14"/>
  <c r="G301" i="14"/>
  <c r="G300" i="14"/>
  <c r="G299" i="14"/>
  <c r="G297" i="14"/>
  <c r="T297" i="14" s="1"/>
  <c r="G296" i="14"/>
  <c r="T296" i="14" s="1"/>
  <c r="F296" i="14"/>
  <c r="F297" i="14"/>
  <c r="F299" i="14"/>
  <c r="F300" i="14"/>
  <c r="F301" i="14"/>
  <c r="F302" i="14"/>
  <c r="K354" i="14"/>
  <c r="G354" i="14" s="1"/>
  <c r="T354" i="14" s="1"/>
  <c r="T353" i="14"/>
  <c r="T352" i="14"/>
  <c r="T351" i="14"/>
  <c r="T350" i="14"/>
  <c r="T349" i="14"/>
  <c r="T348" i="14"/>
  <c r="T347" i="14"/>
  <c r="T346" i="14"/>
  <c r="T339" i="14"/>
  <c r="T338" i="14"/>
  <c r="T337" i="14"/>
  <c r="T336" i="14"/>
  <c r="T334" i="14"/>
  <c r="T333" i="14"/>
  <c r="T332" i="14"/>
  <c r="T331" i="14"/>
  <c r="T330" i="14"/>
  <c r="T328" i="14"/>
  <c r="T327" i="14"/>
  <c r="T326" i="14"/>
  <c r="T325" i="14"/>
  <c r="T324" i="14"/>
  <c r="T323" i="14"/>
  <c r="T322" i="14"/>
  <c r="T321" i="14"/>
  <c r="T320" i="14"/>
  <c r="T319" i="14"/>
  <c r="T318" i="14"/>
  <c r="T317" i="14"/>
  <c r="T316" i="14"/>
  <c r="T315" i="14"/>
  <c r="T304" i="14"/>
  <c r="T301" i="14"/>
  <c r="T300" i="14"/>
  <c r="T299" i="14"/>
  <c r="G295" i="14"/>
  <c r="T295" i="14" s="1"/>
  <c r="G294" i="14"/>
  <c r="T294" i="14" s="1"/>
  <c r="G293" i="14"/>
  <c r="T293" i="14" s="1"/>
  <c r="G292" i="14"/>
  <c r="T292" i="14" s="1"/>
  <c r="G291" i="14"/>
  <c r="T291" i="14" s="1"/>
  <c r="G290" i="14"/>
  <c r="T290" i="14" s="1"/>
  <c r="G289" i="14"/>
  <c r="T289" i="14" s="1"/>
  <c r="G288" i="14"/>
  <c r="T288" i="14" s="1"/>
  <c r="G287" i="14"/>
  <c r="T287" i="14" s="1"/>
  <c r="F288" i="14"/>
  <c r="F289" i="14"/>
  <c r="F290" i="14"/>
  <c r="F291" i="14"/>
  <c r="F292" i="14"/>
  <c r="F293" i="14"/>
  <c r="F294" i="14"/>
  <c r="F295" i="14"/>
  <c r="G286" i="14"/>
  <c r="T286" i="14" s="1"/>
  <c r="G285" i="14"/>
  <c r="T285" i="14" s="1"/>
  <c r="G284" i="14"/>
  <c r="T284" i="14" s="1"/>
  <c r="G282" i="14"/>
  <c r="T282" i="14" s="1"/>
  <c r="F282" i="14"/>
  <c r="G283" i="14"/>
  <c r="T283" i="14" s="1"/>
  <c r="G281" i="14"/>
  <c r="T281" i="14" s="1"/>
  <c r="G280" i="14"/>
  <c r="T280" i="14" s="1"/>
  <c r="G279" i="14"/>
  <c r="T279" i="14" s="1"/>
  <c r="G278" i="14"/>
  <c r="T278" i="14" s="1"/>
  <c r="K275" i="14"/>
  <c r="G275" i="14" s="1"/>
  <c r="T275" i="14" s="1"/>
  <c r="F275" i="14"/>
  <c r="G277" i="14"/>
  <c r="T277" i="14" s="1"/>
  <c r="G276" i="14"/>
  <c r="T276" i="14" s="1"/>
  <c r="F287" i="14"/>
  <c r="F286" i="14"/>
  <c r="F285" i="14"/>
  <c r="F284" i="14"/>
  <c r="F283" i="14"/>
  <c r="F281" i="14"/>
  <c r="F280" i="14"/>
  <c r="F279" i="14"/>
  <c r="F278" i="14"/>
  <c r="F277" i="14"/>
  <c r="F276" i="14"/>
  <c r="G274" i="14"/>
  <c r="G272" i="14"/>
  <c r="G271" i="14"/>
  <c r="G270" i="14"/>
  <c r="G269" i="14"/>
  <c r="G268" i="14"/>
  <c r="G266" i="14"/>
  <c r="K247" i="14"/>
  <c r="G247" i="14" s="1"/>
  <c r="T247" i="14" s="1"/>
  <c r="G246" i="14"/>
  <c r="T246" i="14" s="1"/>
  <c r="F246" i="14"/>
  <c r="G245" i="14"/>
  <c r="T245" i="14" s="1"/>
  <c r="G244" i="14"/>
  <c r="T244" i="14" s="1"/>
  <c r="G243" i="14"/>
  <c r="T243" i="14" s="1"/>
  <c r="G242" i="14"/>
  <c r="T242" i="14" s="1"/>
  <c r="F247" i="14"/>
  <c r="F245" i="14"/>
  <c r="F244" i="14"/>
  <c r="F243" i="14"/>
  <c r="F242" i="14"/>
  <c r="G241" i="14"/>
  <c r="T241" i="14" s="1"/>
  <c r="F241" i="14"/>
  <c r="G240" i="14"/>
  <c r="T240" i="14" s="1"/>
  <c r="F240" i="14"/>
  <c r="G265" i="14"/>
  <c r="K264" i="14"/>
  <c r="G264" i="14" s="1"/>
  <c r="G263" i="14"/>
  <c r="G261" i="14"/>
  <c r="T261" i="14" s="1"/>
  <c r="F261" i="14"/>
  <c r="K262" i="14"/>
  <c r="G262" i="14" s="1"/>
  <c r="G260" i="14"/>
  <c r="G259" i="14"/>
  <c r="K258" i="14"/>
  <c r="G258" i="14" s="1"/>
  <c r="G257" i="14"/>
  <c r="G255" i="14"/>
  <c r="G254" i="14"/>
  <c r="G253" i="14"/>
  <c r="G252" i="14"/>
  <c r="G251" i="14"/>
  <c r="G250" i="14"/>
  <c r="K249" i="14"/>
  <c r="G249" i="14" s="1"/>
  <c r="G248" i="14"/>
  <c r="K239" i="14"/>
  <c r="G239" i="14" s="1"/>
  <c r="G238" i="14"/>
  <c r="G237" i="14"/>
  <c r="G236" i="14"/>
  <c r="G235" i="14"/>
  <c r="G234" i="14"/>
  <c r="K232" i="14"/>
  <c r="G232" i="14" s="1"/>
  <c r="G231" i="14"/>
  <c r="G230" i="14"/>
  <c r="G229" i="14"/>
  <c r="G228" i="14"/>
  <c r="G227" i="14"/>
  <c r="G226" i="14"/>
  <c r="G225" i="14"/>
  <c r="T310" i="14" l="1"/>
  <c r="G224" i="14"/>
  <c r="G223" i="14"/>
  <c r="G222" i="14"/>
  <c r="G221" i="14"/>
  <c r="G220" i="14"/>
  <c r="G219" i="14"/>
  <c r="G218" i="14"/>
  <c r="G217" i="14"/>
  <c r="G216" i="14"/>
  <c r="K215" i="14"/>
  <c r="G215" i="14" s="1"/>
  <c r="G214" i="14"/>
  <c r="K209" i="14"/>
  <c r="G209" i="14" s="1"/>
  <c r="T209" i="14" s="1"/>
  <c r="F209" i="14"/>
  <c r="G213" i="14"/>
  <c r="G212" i="14"/>
  <c r="G211" i="14"/>
  <c r="G210" i="14"/>
  <c r="G208" i="14"/>
  <c r="G207" i="14"/>
  <c r="G206" i="14"/>
  <c r="G205" i="14"/>
  <c r="G204" i="14"/>
  <c r="G173" i="14" l="1"/>
  <c r="T173" i="14" s="1"/>
  <c r="F173" i="14"/>
  <c r="G179" i="14"/>
  <c r="G127" i="14" l="1"/>
  <c r="T127" i="14" s="1"/>
  <c r="F127" i="14"/>
  <c r="G140" i="14"/>
  <c r="T140" i="14" s="1"/>
  <c r="F140" i="14"/>
  <c r="G131" i="14"/>
  <c r="T131" i="14" s="1"/>
  <c r="F131" i="14"/>
  <c r="G165" i="14"/>
  <c r="T165" i="14" s="1"/>
  <c r="G164" i="14"/>
  <c r="T164" i="14" s="1"/>
  <c r="F165" i="14"/>
  <c r="F164" i="14"/>
  <c r="G138" i="14"/>
  <c r="T138" i="14" s="1"/>
  <c r="F138" i="14"/>
  <c r="G166" i="14"/>
  <c r="G163" i="14"/>
  <c r="G162" i="14"/>
  <c r="G161" i="14"/>
  <c r="G160" i="14"/>
  <c r="G159" i="14"/>
  <c r="G157" i="14"/>
  <c r="G148" i="14"/>
  <c r="T148" i="14" s="1"/>
  <c r="F148" i="14"/>
  <c r="G155" i="14"/>
  <c r="G154" i="14"/>
  <c r="G153" i="14"/>
  <c r="G152" i="14"/>
  <c r="G151" i="14"/>
  <c r="G150" i="14"/>
  <c r="G149" i="14"/>
  <c r="G147" i="14"/>
  <c r="G145" i="14"/>
  <c r="G142" i="14"/>
  <c r="G141" i="14"/>
  <c r="G139" i="14"/>
  <c r="G137" i="14"/>
  <c r="G136" i="14"/>
  <c r="G135" i="14"/>
  <c r="G133" i="14"/>
  <c r="G132" i="14"/>
  <c r="G130" i="14"/>
  <c r="G129" i="14"/>
  <c r="G128" i="14"/>
  <c r="G126" i="14"/>
  <c r="G125" i="14"/>
  <c r="G124" i="14"/>
  <c r="G123" i="14"/>
  <c r="G122" i="14"/>
  <c r="G121" i="14"/>
  <c r="G119" i="14" l="1"/>
  <c r="T119" i="14" s="1"/>
  <c r="F119" i="14"/>
  <c r="G118" i="14"/>
  <c r="T118" i="14" s="1"/>
  <c r="F118" i="14"/>
  <c r="G117" i="14"/>
  <c r="G116" i="14"/>
  <c r="G115" i="14"/>
  <c r="G114" i="14"/>
  <c r="G113" i="14"/>
  <c r="G112" i="14"/>
  <c r="G111" i="14"/>
  <c r="G110" i="14"/>
  <c r="G109" i="14"/>
  <c r="G108" i="14"/>
  <c r="G103" i="14"/>
  <c r="T103" i="14" s="1"/>
  <c r="G104" i="14"/>
  <c r="T104" i="14" s="1"/>
  <c r="K105" i="14"/>
  <c r="G105" i="14" s="1"/>
  <c r="T105" i="14" s="1"/>
  <c r="F105" i="14"/>
  <c r="F104" i="14"/>
  <c r="F103" i="14"/>
  <c r="G102" i="14"/>
  <c r="T102" i="14" s="1"/>
  <c r="F102" i="14"/>
  <c r="K101" i="14"/>
  <c r="G101" i="14" s="1"/>
  <c r="T101" i="14" s="1"/>
  <c r="K100" i="14"/>
  <c r="G100" i="14" s="1"/>
  <c r="T100" i="14" s="1"/>
  <c r="F101" i="14"/>
  <c r="F100" i="14"/>
  <c r="G99" i="14"/>
  <c r="T99" i="14" s="1"/>
  <c r="F99" i="14"/>
  <c r="G98" i="14"/>
  <c r="T98" i="14" s="1"/>
  <c r="F98" i="14"/>
  <c r="G97" i="14"/>
  <c r="T97" i="14" s="1"/>
  <c r="F97" i="14"/>
  <c r="G94" i="14"/>
  <c r="T94" i="14" s="1"/>
  <c r="G95" i="14"/>
  <c r="T95" i="14" s="1"/>
  <c r="K96" i="14"/>
  <c r="G96" i="14" s="1"/>
  <c r="T96" i="14" s="1"/>
  <c r="F96" i="14"/>
  <c r="F95" i="14"/>
  <c r="F94" i="14"/>
  <c r="G93" i="14"/>
  <c r="T93" i="14" s="1"/>
  <c r="F93" i="14"/>
  <c r="G89" i="14"/>
  <c r="K90" i="14"/>
  <c r="G90" i="14" s="1"/>
  <c r="T90" i="14" s="1"/>
  <c r="K91" i="14"/>
  <c r="G91" i="14" s="1"/>
  <c r="T91" i="14" s="1"/>
  <c r="K92" i="14"/>
  <c r="G92" i="14" s="1"/>
  <c r="T92" i="14" s="1"/>
  <c r="F92" i="14"/>
  <c r="F91" i="14"/>
  <c r="K86" i="14"/>
  <c r="G86" i="14" s="1"/>
  <c r="T86" i="14" s="1"/>
  <c r="K85" i="14"/>
  <c r="G85" i="14" s="1"/>
  <c r="T85" i="14" s="1"/>
  <c r="K84" i="14"/>
  <c r="G84" i="14" s="1"/>
  <c r="T84" i="14" s="1"/>
  <c r="F86" i="14"/>
  <c r="F85" i="14"/>
  <c r="F90" i="14"/>
  <c r="T89" i="14"/>
  <c r="F89" i="14"/>
  <c r="G88" i="14"/>
  <c r="T88" i="14" s="1"/>
  <c r="F88" i="14"/>
  <c r="G87" i="14"/>
  <c r="T87" i="14" s="1"/>
  <c r="F87" i="14"/>
  <c r="F84" i="14"/>
  <c r="G83" i="14"/>
  <c r="T83" i="14" s="1"/>
  <c r="F83" i="14"/>
  <c r="G82" i="14"/>
  <c r="T82" i="14" s="1"/>
  <c r="F82" i="14"/>
  <c r="G81" i="14"/>
  <c r="T81" i="14" s="1"/>
  <c r="F81" i="14"/>
  <c r="G77" i="14"/>
  <c r="T77" i="14" s="1"/>
  <c r="G78" i="14"/>
  <c r="T78" i="14" s="1"/>
  <c r="K80" i="14"/>
  <c r="G80" i="14" s="1"/>
  <c r="T80" i="14" s="1"/>
  <c r="K79" i="14"/>
  <c r="G79" i="14" s="1"/>
  <c r="T79" i="14" s="1"/>
  <c r="G72" i="14"/>
  <c r="T72" i="14" s="1"/>
  <c r="G74" i="14"/>
  <c r="T74" i="14" s="1"/>
  <c r="G73" i="14"/>
  <c r="T73" i="14" s="1"/>
  <c r="K75" i="14"/>
  <c r="G75" i="14" s="1"/>
  <c r="T75" i="14" s="1"/>
  <c r="F80" i="14"/>
  <c r="F79" i="14"/>
  <c r="F78" i="14"/>
  <c r="F77" i="14"/>
  <c r="G76" i="14"/>
  <c r="T76" i="14" s="1"/>
  <c r="F76" i="14"/>
  <c r="F75" i="14"/>
  <c r="F74" i="14"/>
  <c r="F73" i="14"/>
  <c r="F72" i="14"/>
  <c r="F65" i="14"/>
  <c r="K65" i="14"/>
  <c r="G65" i="14" s="1"/>
  <c r="T65" i="14" s="1"/>
  <c r="K71" i="14"/>
  <c r="G71" i="14" s="1"/>
  <c r="T71" i="14" s="1"/>
  <c r="K70" i="14"/>
  <c r="G70" i="14" s="1"/>
  <c r="T70" i="14" s="1"/>
  <c r="K69" i="14"/>
  <c r="G69" i="14" s="1"/>
  <c r="T69" i="14" s="1"/>
  <c r="G68" i="14"/>
  <c r="F71" i="14"/>
  <c r="F70" i="14"/>
  <c r="K64" i="14"/>
  <c r="G64" i="14" s="1"/>
  <c r="T64" i="14" s="1"/>
  <c r="K56" i="14"/>
  <c r="G56" i="14" s="1"/>
  <c r="T56" i="14" s="1"/>
  <c r="K55" i="14"/>
  <c r="G55" i="14" s="1"/>
  <c r="T55" i="14" s="1"/>
  <c r="K54" i="14"/>
  <c r="G54" i="14" s="1"/>
  <c r="T54" i="14" s="1"/>
  <c r="K53" i="14"/>
  <c r="G53" i="14" s="1"/>
  <c r="T53" i="14" s="1"/>
  <c r="F56" i="14"/>
  <c r="F55" i="14"/>
  <c r="F54" i="14"/>
  <c r="K49" i="14"/>
  <c r="G49" i="14" s="1"/>
  <c r="T49" i="14" s="1"/>
  <c r="K48" i="14"/>
  <c r="G48" i="14" s="1"/>
  <c r="T48" i="14" s="1"/>
  <c r="K47" i="14"/>
  <c r="G47" i="14" s="1"/>
  <c r="F49" i="14"/>
  <c r="F48" i="14"/>
  <c r="K41" i="14"/>
  <c r="G41" i="14" s="1"/>
  <c r="K42" i="14"/>
  <c r="G42" i="14" s="1"/>
  <c r="T42" i="14" s="1"/>
  <c r="K43" i="14"/>
  <c r="G43" i="14" s="1"/>
  <c r="T43" i="14" s="1"/>
  <c r="F42" i="14"/>
  <c r="F43" i="14"/>
  <c r="G66" i="14"/>
  <c r="T66" i="14" s="1"/>
  <c r="K60" i="14"/>
  <c r="G60" i="14" s="1"/>
  <c r="T60" i="14" s="1"/>
  <c r="G61" i="14"/>
  <c r="T61" i="14" s="1"/>
  <c r="G57" i="14"/>
  <c r="T57" i="14" s="1"/>
  <c r="G50" i="14"/>
  <c r="T50" i="14" s="1"/>
  <c r="G46" i="14"/>
  <c r="G45" i="14"/>
  <c r="G40" i="14"/>
  <c r="G44" i="14"/>
  <c r="T44" i="14" s="1"/>
  <c r="G38" i="14"/>
  <c r="G35" i="14"/>
  <c r="G34" i="14"/>
  <c r="G33" i="14"/>
  <c r="K32" i="14"/>
  <c r="G32" i="14" s="1"/>
  <c r="K37" i="14"/>
  <c r="G37" i="14" s="1"/>
  <c r="T37" i="14" s="1"/>
  <c r="K36" i="14"/>
  <c r="G36" i="14" s="1"/>
  <c r="F37" i="14"/>
  <c r="F69" i="14"/>
  <c r="T68" i="14"/>
  <c r="F68" i="14"/>
  <c r="G67" i="14"/>
  <c r="T67" i="14" s="1"/>
  <c r="F67" i="14"/>
  <c r="F66" i="14"/>
  <c r="F64" i="14"/>
  <c r="G63" i="14"/>
  <c r="T63" i="14" s="1"/>
  <c r="F63" i="14"/>
  <c r="G62" i="14"/>
  <c r="T62" i="14" s="1"/>
  <c r="F62" i="14"/>
  <c r="F61" i="14"/>
  <c r="F60" i="14"/>
  <c r="G59" i="14"/>
  <c r="T59" i="14" s="1"/>
  <c r="F59" i="14"/>
  <c r="G58" i="14"/>
  <c r="T58" i="14" s="1"/>
  <c r="F58" i="14"/>
  <c r="F57" i="14"/>
  <c r="F53" i="14"/>
  <c r="G52" i="14"/>
  <c r="T52" i="14" s="1"/>
  <c r="F52" i="14"/>
  <c r="G51" i="14"/>
  <c r="T51" i="14" s="1"/>
  <c r="F51" i="14"/>
  <c r="F50" i="14"/>
  <c r="G39" i="14"/>
  <c r="F44" i="14"/>
  <c r="T34" i="14" l="1"/>
  <c r="F34" i="14"/>
  <c r="G31" i="14"/>
  <c r="G30" i="14"/>
  <c r="T30" i="14" s="1"/>
  <c r="F30" i="14"/>
  <c r="G27" i="14"/>
  <c r="G26" i="14"/>
  <c r="G25" i="14"/>
  <c r="G18" i="14"/>
  <c r="G19" i="14"/>
  <c r="G20" i="14"/>
  <c r="T25" i="14" l="1"/>
  <c r="F25" i="14"/>
  <c r="T26" i="14" l="1"/>
  <c r="F26" i="14"/>
  <c r="T20" i="14"/>
  <c r="F20" i="14"/>
  <c r="T19" i="14"/>
  <c r="F19" i="14"/>
  <c r="T18" i="14"/>
  <c r="F18" i="14"/>
  <c r="T17" i="14"/>
  <c r="F17" i="14"/>
  <c r="G11" i="14" l="1"/>
  <c r="G273" i="14" l="1"/>
  <c r="T273" i="14" s="1"/>
  <c r="T274" i="14"/>
  <c r="T272" i="14"/>
  <c r="T271" i="14"/>
  <c r="T270" i="14"/>
  <c r="T269" i="14"/>
  <c r="F274" i="14"/>
  <c r="F273" i="14"/>
  <c r="F272" i="14"/>
  <c r="F271" i="14"/>
  <c r="F270" i="14"/>
  <c r="F269" i="14"/>
  <c r="G267" i="14"/>
  <c r="T267" i="14" s="1"/>
  <c r="T266" i="14"/>
  <c r="T265" i="14"/>
  <c r="T263" i="14"/>
  <c r="T264" i="14"/>
  <c r="T268" i="14"/>
  <c r="F268" i="14"/>
  <c r="F267" i="14"/>
  <c r="F266" i="14"/>
  <c r="F265" i="14"/>
  <c r="F264" i="14"/>
  <c r="F263" i="14"/>
  <c r="G256" i="14"/>
  <c r="T256" i="14" s="1"/>
  <c r="T255" i="14"/>
  <c r="T259" i="14"/>
  <c r="T258" i="14"/>
  <c r="T260" i="14"/>
  <c r="T257" i="14"/>
  <c r="F260" i="14"/>
  <c r="F259" i="14"/>
  <c r="F258" i="14"/>
  <c r="F257" i="14"/>
  <c r="F256" i="14"/>
  <c r="T262" i="14"/>
  <c r="F262" i="14"/>
  <c r="F255" i="14"/>
  <c r="T254" i="14"/>
  <c r="F254" i="14"/>
  <c r="T250" i="14"/>
  <c r="T251" i="14"/>
  <c r="T253" i="14"/>
  <c r="F253" i="14"/>
  <c r="T252" i="14"/>
  <c r="F252" i="14"/>
  <c r="F251" i="14"/>
  <c r="F250" i="14"/>
  <c r="T239" i="14"/>
  <c r="T237" i="14"/>
  <c r="T248" i="14"/>
  <c r="T238" i="14"/>
  <c r="G233" i="14"/>
  <c r="T233" i="14" s="1"/>
  <c r="T235" i="14"/>
  <c r="T249" i="14"/>
  <c r="F249" i="14"/>
  <c r="F248" i="14"/>
  <c r="F239" i="14"/>
  <c r="F238" i="14"/>
  <c r="F237" i="14"/>
  <c r="T236" i="14"/>
  <c r="F236" i="14"/>
  <c r="F235" i="14"/>
  <c r="T234" i="14"/>
  <c r="F234" i="14"/>
  <c r="F233" i="14"/>
  <c r="T232" i="14"/>
  <c r="T229" i="14"/>
  <c r="T230" i="14"/>
  <c r="T228" i="14"/>
  <c r="T231" i="14"/>
  <c r="F231" i="14"/>
  <c r="F232" i="14"/>
  <c r="F230" i="14"/>
  <c r="F229" i="14"/>
  <c r="F228" i="14"/>
  <c r="T227" i="14"/>
  <c r="T225" i="14"/>
  <c r="F227" i="14"/>
  <c r="T226" i="14"/>
  <c r="F226" i="14"/>
  <c r="F225" i="14"/>
  <c r="T224" i="14"/>
  <c r="F224" i="14"/>
  <c r="T220" i="14"/>
  <c r="T221" i="14"/>
  <c r="T222" i="14"/>
  <c r="F221" i="14"/>
  <c r="T223" i="14"/>
  <c r="F223" i="14"/>
  <c r="F222" i="14"/>
  <c r="F220" i="14"/>
  <c r="T218" i="14"/>
  <c r="T216" i="14"/>
  <c r="T214" i="14"/>
  <c r="T212" i="14"/>
  <c r="T219" i="14"/>
  <c r="F219" i="14"/>
  <c r="F218" i="14"/>
  <c r="T217" i="14"/>
  <c r="F217" i="14"/>
  <c r="F216" i="14"/>
  <c r="T215" i="14"/>
  <c r="F215" i="14"/>
  <c r="F214" i="14"/>
  <c r="T213" i="14"/>
  <c r="F213" i="14"/>
  <c r="F212" i="14"/>
  <c r="T210" i="14"/>
  <c r="T207" i="14"/>
  <c r="T206" i="14"/>
  <c r="T204" i="14"/>
  <c r="T211" i="14"/>
  <c r="F211" i="14"/>
  <c r="F210" i="14"/>
  <c r="T208" i="14"/>
  <c r="F208" i="14"/>
  <c r="F207" i="14"/>
  <c r="F206" i="14"/>
  <c r="T205" i="14"/>
  <c r="F205" i="14"/>
  <c r="F204" i="14"/>
  <c r="T188" i="14"/>
  <c r="T186" i="14"/>
  <c r="F186" i="14"/>
  <c r="T184" i="14"/>
  <c r="T179" i="14"/>
  <c r="T174" i="14"/>
  <c r="T196" i="14"/>
  <c r="F196" i="14"/>
  <c r="F188" i="14"/>
  <c r="T187" i="14"/>
  <c r="F187" i="14"/>
  <c r="F184" i="14"/>
  <c r="T183" i="14"/>
  <c r="F183" i="14"/>
  <c r="F181" i="14"/>
  <c r="T180" i="14"/>
  <c r="F180" i="14"/>
  <c r="F179" i="14"/>
  <c r="T175" i="14"/>
  <c r="F175" i="14"/>
  <c r="F174" i="14"/>
  <c r="T170" i="14"/>
  <c r="F170" i="14"/>
  <c r="T169" i="14"/>
  <c r="F169" i="14"/>
  <c r="T181" i="14" l="1"/>
  <c r="G158" i="14" l="1"/>
  <c r="T158" i="14" s="1"/>
  <c r="T130" i="14"/>
  <c r="T124" i="14"/>
  <c r="T149" i="14"/>
  <c r="T33" i="5"/>
  <c r="F33" i="5"/>
  <c r="T32" i="5"/>
  <c r="F32" i="5"/>
  <c r="T31" i="5"/>
  <c r="F31" i="5"/>
  <c r="T30" i="5"/>
  <c r="F30" i="5"/>
  <c r="T29" i="5"/>
  <c r="F29" i="5"/>
  <c r="T28" i="5"/>
  <c r="F28" i="5"/>
  <c r="T27" i="5"/>
  <c r="F27" i="5"/>
  <c r="T26" i="5"/>
  <c r="F26" i="5"/>
  <c r="T25" i="5"/>
  <c r="F25" i="5"/>
  <c r="T24" i="5"/>
  <c r="F24" i="5"/>
  <c r="T23" i="5"/>
  <c r="F23" i="5"/>
  <c r="T22" i="5"/>
  <c r="F22" i="5"/>
  <c r="T21" i="5"/>
  <c r="F21" i="5"/>
  <c r="T20" i="5"/>
  <c r="F20" i="5"/>
  <c r="T19" i="5"/>
  <c r="F19" i="5"/>
  <c r="T18" i="5"/>
  <c r="F18" i="5"/>
  <c r="T17" i="5"/>
  <c r="F17" i="5"/>
  <c r="T16" i="5"/>
  <c r="T15" i="5"/>
  <c r="F15" i="5"/>
  <c r="T14" i="5"/>
  <c r="F14" i="5"/>
  <c r="T13" i="5"/>
  <c r="F13" i="5"/>
  <c r="T12" i="5"/>
  <c r="F12" i="5"/>
  <c r="T11" i="5"/>
  <c r="F11" i="5"/>
  <c r="T10" i="5"/>
  <c r="F10" i="5"/>
  <c r="T9" i="5"/>
  <c r="F9" i="5"/>
  <c r="AC8" i="5"/>
  <c r="AB8" i="5"/>
  <c r="AA8" i="5"/>
  <c r="Z8" i="5"/>
  <c r="Y8" i="5"/>
  <c r="X8" i="5"/>
  <c r="W8" i="5"/>
  <c r="T8" i="5"/>
  <c r="F8" i="5"/>
  <c r="T7" i="5"/>
  <c r="F7" i="5"/>
  <c r="T6" i="5"/>
  <c r="F6" i="5"/>
  <c r="T5" i="5"/>
  <c r="F5" i="5"/>
  <c r="T4" i="5"/>
  <c r="F4" i="5"/>
  <c r="T3" i="5"/>
  <c r="F3" i="5"/>
  <c r="F166" i="14"/>
  <c r="F163" i="14"/>
  <c r="T162" i="14" s="1"/>
  <c r="F162" i="14"/>
  <c r="F161" i="14"/>
  <c r="T160" i="14" s="1"/>
  <c r="F160" i="14"/>
  <c r="F159" i="14"/>
  <c r="F158" i="14"/>
  <c r="F157" i="14"/>
  <c r="G156" i="14"/>
  <c r="T156" i="14" s="1"/>
  <c r="F156" i="14"/>
  <c r="T155" i="14"/>
  <c r="F155" i="14"/>
  <c r="T154" i="14"/>
  <c r="F154" i="14"/>
  <c r="T153" i="14"/>
  <c r="F153" i="14"/>
  <c r="T152" i="14"/>
  <c r="F152" i="14"/>
  <c r="T151" i="14"/>
  <c r="F151" i="14"/>
  <c r="T150" i="14"/>
  <c r="F150" i="14"/>
  <c r="F149" i="14"/>
  <c r="T147" i="14"/>
  <c r="F147" i="14"/>
  <c r="T145" i="14"/>
  <c r="F145" i="14"/>
  <c r="G143" i="14"/>
  <c r="T143" i="14" s="1"/>
  <c r="F143" i="14"/>
  <c r="T142" i="14"/>
  <c r="F142" i="14"/>
  <c r="T141" i="14"/>
  <c r="F141" i="14"/>
  <c r="T139" i="14"/>
  <c r="F139" i="14"/>
  <c r="T137" i="14"/>
  <c r="F137" i="14"/>
  <c r="T136" i="14"/>
  <c r="F136" i="14"/>
  <c r="T135" i="14"/>
  <c r="F135" i="14"/>
  <c r="T133" i="14"/>
  <c r="F133" i="14"/>
  <c r="T132" i="14"/>
  <c r="F132" i="14"/>
  <c r="F130" i="14"/>
  <c r="T129" i="14"/>
  <c r="F129" i="14"/>
  <c r="T128" i="14"/>
  <c r="F128" i="14"/>
  <c r="T126" i="14"/>
  <c r="F126" i="14"/>
  <c r="T125" i="14"/>
  <c r="F125" i="14"/>
  <c r="F124" i="14"/>
  <c r="T123" i="14"/>
  <c r="F123" i="14"/>
  <c r="T122" i="14"/>
  <c r="F122" i="14"/>
  <c r="T159" i="14" l="1"/>
  <c r="AD8" i="5"/>
  <c r="T161" i="14"/>
  <c r="T163" i="14"/>
  <c r="T166" i="14"/>
  <c r="T157" i="14"/>
  <c r="T121" i="14"/>
  <c r="F121" i="14"/>
  <c r="F117" i="14"/>
  <c r="F116" i="14"/>
  <c r="F115" i="14"/>
  <c r="T114" i="14"/>
  <c r="F114" i="14"/>
  <c r="F113" i="14"/>
  <c r="F112" i="14"/>
  <c r="F111" i="14"/>
  <c r="T110" i="14"/>
  <c r="F110" i="14"/>
  <c r="T109" i="14"/>
  <c r="F109" i="14"/>
  <c r="T108" i="14"/>
  <c r="F108" i="14"/>
  <c r="G107" i="14"/>
  <c r="F107" i="14"/>
  <c r="T47" i="14" s="1"/>
  <c r="F47" i="14"/>
  <c r="T46" i="14"/>
  <c r="F46" i="14"/>
  <c r="F45" i="14"/>
  <c r="F41" i="14"/>
  <c r="F40" i="14"/>
  <c r="T39" i="14"/>
  <c r="F39" i="14"/>
  <c r="F38" i="14"/>
  <c r="F36" i="14"/>
  <c r="F35" i="14"/>
  <c r="F33" i="14"/>
  <c r="T32" i="14"/>
  <c r="F32" i="14"/>
  <c r="F31" i="14"/>
  <c r="F29" i="14"/>
  <c r="G28" i="14"/>
  <c r="F28" i="14"/>
  <c r="F27" i="14"/>
  <c r="G16" i="14"/>
  <c r="F16" i="14"/>
  <c r="G15" i="14"/>
  <c r="F15" i="14"/>
  <c r="G14" i="14"/>
  <c r="F14" i="14"/>
  <c r="G13" i="14"/>
  <c r="F13" i="14"/>
  <c r="T33" i="14" l="1"/>
  <c r="T107" i="14"/>
  <c r="T14" i="14"/>
  <c r="T15" i="14"/>
  <c r="T16" i="14"/>
  <c r="T115" i="14"/>
  <c r="T116" i="14"/>
  <c r="T117" i="14"/>
  <c r="T35" i="14"/>
  <c r="T36" i="14"/>
  <c r="T38" i="14"/>
  <c r="T13" i="14"/>
  <c r="T27" i="14"/>
  <c r="T28" i="14"/>
  <c r="T29" i="14"/>
  <c r="T31" i="14"/>
  <c r="T40" i="14"/>
  <c r="T41" i="14"/>
  <c r="T45" i="14"/>
  <c r="T111" i="14"/>
  <c r="T112" i="14"/>
  <c r="T113" i="14"/>
  <c r="G12" i="14"/>
  <c r="F12" i="14"/>
  <c r="T11" i="14"/>
  <c r="F11" i="14"/>
  <c r="T12" i="14" l="1"/>
  <c r="AC8" i="14"/>
  <c r="AB8" i="14"/>
  <c r="AA8" i="14"/>
  <c r="Z8" i="14" l="1"/>
  <c r="Y8" i="14" l="1"/>
  <c r="X8" i="14"/>
  <c r="W8" i="14"/>
  <c r="AD8" i="14" l="1"/>
</calcChain>
</file>

<file path=xl/sharedStrings.xml><?xml version="1.0" encoding="utf-8"?>
<sst xmlns="http://schemas.openxmlformats.org/spreadsheetml/2006/main" count="472" uniqueCount="102">
  <si>
    <t>BBS Ref:</t>
  </si>
  <si>
    <t>Bar Mark</t>
  </si>
  <si>
    <t>Description of Elements</t>
  </si>
  <si>
    <t>ø of Bars</t>
  </si>
  <si>
    <t>№of Elmts</t>
  </si>
  <si>
    <t>№of Bars</t>
  </si>
  <si>
    <t>Cutting length</t>
  </si>
  <si>
    <t>Code</t>
  </si>
  <si>
    <t>A</t>
  </si>
  <si>
    <t>B</t>
  </si>
  <si>
    <t>C</t>
  </si>
  <si>
    <t>D</t>
  </si>
  <si>
    <t>E</t>
  </si>
  <si>
    <t>F</t>
  </si>
  <si>
    <t>G</t>
  </si>
  <si>
    <t>H</t>
  </si>
  <si>
    <t>Shape</t>
  </si>
  <si>
    <t>Name of Project</t>
  </si>
  <si>
    <t>Name of Structure</t>
  </si>
  <si>
    <t>SUMMARY OF  REINFORCEMENT STEEL</t>
  </si>
  <si>
    <t>Size of bar</t>
  </si>
  <si>
    <t>Total</t>
  </si>
  <si>
    <t>Weight (Kg)</t>
  </si>
  <si>
    <t>Type your name of company here.</t>
  </si>
  <si>
    <t>Total №</t>
  </si>
  <si>
    <t>I</t>
  </si>
  <si>
    <t>J</t>
  </si>
  <si>
    <t>FLOOR SLAB</t>
  </si>
  <si>
    <t>BTA</t>
  </si>
  <si>
    <t>COL 1</t>
  </si>
  <si>
    <t>COL 2</t>
  </si>
  <si>
    <t>STAIRCASE</t>
  </si>
  <si>
    <t>BTB</t>
  </si>
  <si>
    <t>BTC</t>
  </si>
  <si>
    <t>BTD</t>
  </si>
  <si>
    <t>BTE</t>
  </si>
  <si>
    <t>BTG</t>
  </si>
  <si>
    <t xml:space="preserve">COL 1 </t>
  </si>
  <si>
    <t>COL 4</t>
  </si>
  <si>
    <t>NOIRMAN &amp; ASSOCIATES</t>
  </si>
  <si>
    <t>BEAM 18</t>
  </si>
  <si>
    <t>BEAM 14</t>
  </si>
  <si>
    <t>BEAM 5</t>
  </si>
  <si>
    <t>BEAM 7</t>
  </si>
  <si>
    <t>BEAM 8</t>
  </si>
  <si>
    <t>BEAM 9</t>
  </si>
  <si>
    <t>BTF</t>
  </si>
  <si>
    <t>BTH</t>
  </si>
  <si>
    <t>BTJ</t>
  </si>
  <si>
    <t>BTK</t>
  </si>
  <si>
    <t>COL 2A</t>
  </si>
  <si>
    <t>COL 2B</t>
  </si>
  <si>
    <t>COL 2C</t>
  </si>
  <si>
    <t>COL 2D</t>
  </si>
  <si>
    <t>COL 3</t>
  </si>
  <si>
    <t>COL 3A</t>
  </si>
  <si>
    <t>COL 3B</t>
  </si>
  <si>
    <t>COL 4A</t>
  </si>
  <si>
    <t>COL 4B</t>
  </si>
  <si>
    <t>COL 4C</t>
  </si>
  <si>
    <t>COL 5</t>
  </si>
  <si>
    <t>COL 5A</t>
  </si>
  <si>
    <t>COL 5B</t>
  </si>
  <si>
    <t>BEAM 1</t>
  </si>
  <si>
    <t>BEAM 2</t>
  </si>
  <si>
    <t>BEAM 3</t>
  </si>
  <si>
    <t>BEAM 4</t>
  </si>
  <si>
    <t>1006A</t>
  </si>
  <si>
    <t>BEAM 6</t>
  </si>
  <si>
    <t>BEAM 10</t>
  </si>
  <si>
    <t>BEAM 11</t>
  </si>
  <si>
    <t>BEAM 12</t>
  </si>
  <si>
    <t>1006 A</t>
  </si>
  <si>
    <t>BEAM 13</t>
  </si>
  <si>
    <t>BEAM 9A</t>
  </si>
  <si>
    <t>BEAM 15</t>
  </si>
  <si>
    <t>BEAM 16</t>
  </si>
  <si>
    <t>BEAM 17</t>
  </si>
  <si>
    <t>BEAM 20</t>
  </si>
  <si>
    <t>BEAM 21</t>
  </si>
  <si>
    <t>BEAM 22</t>
  </si>
  <si>
    <t>BEAM 25</t>
  </si>
  <si>
    <t>BEAM 26</t>
  </si>
  <si>
    <t>BEAM 27</t>
  </si>
  <si>
    <t>BEAM 28</t>
  </si>
  <si>
    <t>BEAM 29</t>
  </si>
  <si>
    <t>BEAM 25A</t>
  </si>
  <si>
    <t>1006C</t>
  </si>
  <si>
    <t>BEAM 27A</t>
  </si>
  <si>
    <t>BEAM 17A</t>
  </si>
  <si>
    <t>BEAM 18A</t>
  </si>
  <si>
    <t>BEAM 25B</t>
  </si>
  <si>
    <t>BEAM 26B</t>
  </si>
  <si>
    <t>BEAM 27B</t>
  </si>
  <si>
    <t>BEAM 30</t>
  </si>
  <si>
    <t>BEAM 31</t>
  </si>
  <si>
    <t>BEAM 35</t>
  </si>
  <si>
    <t xml:space="preserve">Bar Mark            </t>
  </si>
  <si>
    <t>BTR</t>
  </si>
  <si>
    <t>BTS</t>
  </si>
  <si>
    <t>RAMP SLAB</t>
  </si>
  <si>
    <t>THE THEATRE COMPLEX FOR OBAFEMI AWOLOWO UNIVERSITY TEACHING HOSPITAL COMPLEX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</si>
</sst>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\T#"/>
    <numFmt numFmtId="166" formatCode="#\ \№;;;"/>
  </numFmts>
  <fonts count="26" x14ac:knownFonts="1">
    <font>
      <sz val="10"/>
      <name val="Arial"/>
    </font>
    <font>
      <sz val="10"/>
      <name val="Arial"/>
    </font>
    <font>
      <sz val="10"/>
      <name val="Tahoma"/>
      <family val="2"/>
    </font>
    <font>
      <b/>
      <sz val="12"/>
      <name val="Tahoma"/>
      <family val="2"/>
    </font>
    <font>
      <b/>
      <sz val="14"/>
      <name val="Tahoma"/>
      <family val="2"/>
    </font>
    <font>
      <b/>
      <u/>
      <sz val="12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</borders>
  <cellStyleXfs count="47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5" borderId="0" applyNumberFormat="0" applyBorder="0" applyAlignment="0" applyProtection="0"/>
    <xf numFmtId="0" fontId="8" fillId="8" borderId="0" applyNumberFormat="0" applyBorder="0" applyAlignment="0" applyProtection="0"/>
    <xf numFmtId="0" fontId="8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10" fillId="3" borderId="0" applyNumberFormat="0" applyBorder="0" applyAlignment="0" applyProtection="0"/>
    <xf numFmtId="0" fontId="11" fillId="20" borderId="1" applyNumberFormat="0" applyAlignment="0" applyProtection="0"/>
    <xf numFmtId="0" fontId="12" fillId="21" borderId="2" applyNumberFormat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7" borderId="1" applyNumberFormat="0" applyAlignment="0" applyProtection="0"/>
    <xf numFmtId="0" fontId="19" fillId="0" borderId="6" applyNumberFormat="0" applyFill="0" applyAlignment="0" applyProtection="0"/>
    <xf numFmtId="0" fontId="20" fillId="22" borderId="0" applyNumberFormat="0" applyBorder="0" applyAlignment="0" applyProtection="0"/>
    <xf numFmtId="0" fontId="2" fillId="0" borderId="0">
      <alignment vertical="center"/>
    </xf>
    <xf numFmtId="0" fontId="1" fillId="23" borderId="7" applyNumberFormat="0" applyFont="0" applyAlignment="0" applyProtection="0"/>
    <xf numFmtId="0" fontId="21" fillId="20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" fillId="0" borderId="0"/>
    <xf numFmtId="0" fontId="25" fillId="23" borderId="7" applyNumberFormat="0" applyFont="0" applyAlignment="0" applyProtection="0"/>
    <xf numFmtId="0" fontId="2" fillId="0" borderId="0"/>
    <xf numFmtId="0" fontId="25" fillId="23" borderId="7" applyNumberFormat="0" applyFont="0" applyAlignment="0" applyProtection="0"/>
  </cellStyleXfs>
  <cellXfs count="81">
    <xf numFmtId="0" fontId="0" fillId="0" borderId="0" xfId="0"/>
    <xf numFmtId="0" fontId="2" fillId="0" borderId="0" xfId="37" applyFont="1" applyAlignment="1">
      <alignment vertical="center"/>
    </xf>
    <xf numFmtId="0" fontId="2" fillId="0" borderId="0" xfId="37" applyFont="1" applyAlignment="1">
      <alignment horizontal="center" vertical="center"/>
    </xf>
    <xf numFmtId="0" fontId="2" fillId="0" borderId="0" xfId="37" applyFont="1" applyFill="1" applyAlignment="1">
      <alignment vertical="center"/>
    </xf>
    <xf numFmtId="0" fontId="2" fillId="0" borderId="0" xfId="37" applyFont="1" applyFill="1" applyAlignment="1">
      <alignment horizontal="center" vertical="center" wrapText="1"/>
    </xf>
    <xf numFmtId="0" fontId="2" fillId="0" borderId="0" xfId="37" applyFont="1" applyAlignment="1">
      <alignment horizontal="center" vertical="center" wrapText="1"/>
    </xf>
    <xf numFmtId="0" fontId="2" fillId="0" borderId="10" xfId="37" applyFont="1" applyBorder="1" applyAlignment="1">
      <alignment vertical="center" wrapText="1"/>
    </xf>
    <xf numFmtId="165" fontId="2" fillId="0" borderId="10" xfId="37" applyNumberFormat="1" applyFont="1" applyBorder="1" applyAlignment="1">
      <alignment horizontal="center" vertical="center" shrinkToFit="1"/>
    </xf>
    <xf numFmtId="0" fontId="2" fillId="0" borderId="10" xfId="37" applyFont="1" applyBorder="1" applyAlignment="1">
      <alignment horizontal="center" vertical="center" shrinkToFit="1"/>
    </xf>
    <xf numFmtId="166" fontId="2" fillId="0" borderId="10" xfId="37" applyNumberFormat="1" applyFont="1" applyBorder="1" applyAlignment="1">
      <alignment horizontal="center" vertical="center" shrinkToFit="1"/>
    </xf>
    <xf numFmtId="0" fontId="2" fillId="0" borderId="10" xfId="37" applyFont="1" applyFill="1" applyBorder="1" applyAlignment="1">
      <alignment vertical="center"/>
    </xf>
    <xf numFmtId="0" fontId="2" fillId="24" borderId="10" xfId="37" applyFont="1" applyFill="1" applyBorder="1" applyAlignment="1">
      <alignment horizontal="center" vertical="center" shrinkToFit="1"/>
    </xf>
    <xf numFmtId="0" fontId="2" fillId="0" borderId="10" xfId="37" applyNumberFormat="1" applyFont="1" applyFill="1" applyBorder="1" applyAlignment="1" applyProtection="1">
      <alignment horizontal="center" vertical="center" shrinkToFit="1"/>
      <protection hidden="1"/>
    </xf>
    <xf numFmtId="0" fontId="2" fillId="0" borderId="10" xfId="37" applyFont="1" applyBorder="1" applyProtection="1">
      <alignment vertical="center"/>
      <protection locked="0"/>
    </xf>
    <xf numFmtId="0" fontId="3" fillId="0" borderId="0" xfId="37" applyFont="1" applyAlignment="1">
      <alignment horizontal="centerContinuous"/>
    </xf>
    <xf numFmtId="0" fontId="4" fillId="0" borderId="0" xfId="37" applyFont="1" applyFill="1" applyAlignment="1">
      <alignment horizontal="centerContinuous" vertical="center"/>
    </xf>
    <xf numFmtId="0" fontId="2" fillId="0" borderId="0" xfId="37" applyFont="1" applyFill="1" applyAlignment="1">
      <alignment horizontal="center" vertical="center"/>
    </xf>
    <xf numFmtId="0" fontId="3" fillId="0" borderId="0" xfId="37" applyFont="1" applyFill="1" applyAlignment="1">
      <alignment horizontal="left" vertical="center"/>
    </xf>
    <xf numFmtId="0" fontId="5" fillId="0" borderId="11" xfId="37" applyFont="1" applyFill="1" applyBorder="1" applyAlignment="1">
      <alignment horizontal="centerContinuous" vertical="center"/>
    </xf>
    <xf numFmtId="0" fontId="2" fillId="0" borderId="12" xfId="37" applyFont="1" applyFill="1" applyBorder="1" applyAlignment="1">
      <alignment horizontal="centerContinuous" vertical="center"/>
    </xf>
    <xf numFmtId="0" fontId="2" fillId="0" borderId="13" xfId="37" applyFont="1" applyFill="1" applyBorder="1" applyAlignment="1">
      <alignment horizontal="centerContinuous" vertical="center" wrapText="1"/>
    </xf>
    <xf numFmtId="0" fontId="6" fillId="0" borderId="14" xfId="37" applyFont="1" applyFill="1" applyBorder="1" applyAlignment="1">
      <alignment vertical="center"/>
    </xf>
    <xf numFmtId="165" fontId="7" fillId="0" borderId="15" xfId="37" applyNumberFormat="1" applyFont="1" applyFill="1" applyBorder="1" applyAlignment="1">
      <alignment horizontal="center" vertical="center"/>
    </xf>
    <xf numFmtId="0" fontId="7" fillId="0" borderId="16" xfId="37" applyFont="1" applyFill="1" applyBorder="1" applyAlignment="1">
      <alignment horizontal="center" vertical="center" shrinkToFit="1"/>
    </xf>
    <xf numFmtId="0" fontId="6" fillId="0" borderId="17" xfId="37" applyFont="1" applyFill="1" applyBorder="1" applyAlignment="1">
      <alignment vertical="center"/>
    </xf>
    <xf numFmtId="1" fontId="6" fillId="0" borderId="18" xfId="37" applyNumberFormat="1" applyFont="1" applyFill="1" applyBorder="1" applyAlignment="1">
      <alignment horizontal="center" vertical="center"/>
    </xf>
    <xf numFmtId="1" fontId="6" fillId="0" borderId="19" xfId="37" applyNumberFormat="1" applyFont="1" applyFill="1" applyBorder="1" applyAlignment="1">
      <alignment horizontal="center" vertical="center"/>
    </xf>
    <xf numFmtId="0" fontId="2" fillId="0" borderId="0" xfId="37" applyFont="1" applyBorder="1" applyAlignment="1">
      <alignment vertical="center"/>
    </xf>
    <xf numFmtId="0" fontId="2" fillId="0" borderId="0" xfId="37" applyFont="1" applyBorder="1" applyAlignment="1">
      <alignment horizontal="center" vertical="center"/>
    </xf>
    <xf numFmtId="0" fontId="2" fillId="0" borderId="0" xfId="37" applyFont="1" applyFill="1" applyBorder="1" applyAlignment="1">
      <alignment vertical="center"/>
    </xf>
    <xf numFmtId="0" fontId="2" fillId="0" borderId="10" xfId="37" applyFont="1" applyBorder="1" applyAlignment="1">
      <alignment horizontal="center" vertical="center" wrapText="1"/>
    </xf>
    <xf numFmtId="0" fontId="2" fillId="0" borderId="10" xfId="37" applyFont="1" applyFill="1" applyBorder="1" applyAlignment="1">
      <alignment horizontal="center" vertical="center" wrapText="1"/>
    </xf>
    <xf numFmtId="0" fontId="2" fillId="24" borderId="10" xfId="37" applyFont="1" applyFill="1" applyBorder="1" applyAlignment="1">
      <alignment horizontal="center" vertical="center" wrapText="1"/>
    </xf>
    <xf numFmtId="0" fontId="0" fillId="0" borderId="10" xfId="0" applyBorder="1"/>
    <xf numFmtId="164" fontId="2" fillId="0" borderId="10" xfId="37" applyNumberFormat="1" applyFont="1" applyBorder="1" applyAlignment="1">
      <alignment horizontal="right" vertical="center" shrinkToFit="1"/>
    </xf>
    <xf numFmtId="0" fontId="2" fillId="0" borderId="10" xfId="43" applyBorder="1"/>
    <xf numFmtId="0" fontId="2" fillId="0" borderId="20" xfId="37" applyFont="1" applyBorder="1" applyAlignment="1">
      <alignment horizontal="center" vertical="center" shrinkToFit="1"/>
    </xf>
    <xf numFmtId="0" fontId="2" fillId="0" borderId="21" xfId="37" applyFont="1" applyBorder="1" applyAlignment="1">
      <alignment horizontal="center" vertical="center" shrinkToFit="1"/>
    </xf>
    <xf numFmtId="0" fontId="2" fillId="0" borderId="20" xfId="37" applyNumberFormat="1" applyFont="1" applyFill="1" applyBorder="1" applyAlignment="1" applyProtection="1">
      <alignment horizontal="center" vertical="center" shrinkToFit="1"/>
      <protection hidden="1"/>
    </xf>
    <xf numFmtId="0" fontId="6" fillId="0" borderId="0" xfId="37" applyFont="1" applyFill="1" applyBorder="1" applyAlignment="1">
      <alignment vertical="center"/>
    </xf>
    <xf numFmtId="1" fontId="6" fillId="0" borderId="0" xfId="37" applyNumberFormat="1" applyFont="1" applyFill="1" applyBorder="1" applyAlignment="1">
      <alignment horizontal="center" vertical="center"/>
    </xf>
    <xf numFmtId="0" fontId="2" fillId="0" borderId="21" xfId="37" applyNumberFormat="1" applyFont="1" applyFill="1" applyBorder="1" applyAlignment="1" applyProtection="1">
      <alignment horizontal="center" vertical="center" shrinkToFit="1"/>
      <protection hidden="1"/>
    </xf>
    <xf numFmtId="0" fontId="2" fillId="0" borderId="0" xfId="37" applyFont="1" applyBorder="1" applyAlignment="1">
      <alignment vertical="center" wrapText="1"/>
    </xf>
    <xf numFmtId="165" fontId="2" fillId="0" borderId="0" xfId="37" applyNumberFormat="1" applyFont="1" applyBorder="1" applyAlignment="1">
      <alignment horizontal="center" vertical="center" shrinkToFit="1"/>
    </xf>
    <xf numFmtId="0" fontId="2" fillId="0" borderId="0" xfId="37" applyFont="1" applyBorder="1" applyAlignment="1">
      <alignment horizontal="center" vertical="center" shrinkToFit="1"/>
    </xf>
    <xf numFmtId="166" fontId="2" fillId="0" borderId="0" xfId="37" applyNumberFormat="1" applyFont="1" applyBorder="1" applyAlignment="1">
      <alignment horizontal="center" vertical="center" shrinkToFit="1"/>
    </xf>
    <xf numFmtId="0" fontId="2" fillId="24" borderId="0" xfId="37" applyFont="1" applyFill="1" applyBorder="1" applyAlignment="1">
      <alignment horizontal="center" vertical="center" shrinkToFit="1"/>
    </xf>
    <xf numFmtId="0" fontId="2" fillId="0" borderId="0" xfId="37" applyNumberFormat="1" applyFont="1" applyFill="1" applyBorder="1" applyAlignment="1" applyProtection="1">
      <alignment horizontal="center" vertical="center" shrinkToFit="1"/>
      <protection hidden="1"/>
    </xf>
    <xf numFmtId="0" fontId="2" fillId="0" borderId="0" xfId="43" applyBorder="1"/>
    <xf numFmtId="164" fontId="2" fillId="0" borderId="0" xfId="37" applyNumberFormat="1" applyFont="1" applyBorder="1" applyAlignment="1">
      <alignment horizontal="right" vertical="center" shrinkToFit="1"/>
    </xf>
    <xf numFmtId="0" fontId="2" fillId="0" borderId="22" xfId="37" applyFont="1" applyBorder="1" applyAlignment="1">
      <alignment horizontal="center" vertical="center" shrinkToFit="1"/>
    </xf>
    <xf numFmtId="0" fontId="2" fillId="0" borderId="23" xfId="37" applyFont="1" applyBorder="1" applyAlignment="1">
      <alignment horizontal="center" vertical="center" shrinkToFit="1"/>
    </xf>
    <xf numFmtId="0" fontId="2" fillId="0" borderId="22" xfId="37" applyNumberFormat="1" applyFont="1" applyFill="1" applyBorder="1" applyAlignment="1" applyProtection="1">
      <alignment horizontal="center" vertical="center" shrinkToFit="1"/>
      <protection hidden="1"/>
    </xf>
    <xf numFmtId="0" fontId="2" fillId="0" borderId="26" xfId="37" applyNumberFormat="1" applyFont="1" applyFill="1" applyBorder="1" applyAlignment="1" applyProtection="1">
      <alignment horizontal="center" vertical="center" shrinkToFit="1"/>
      <protection hidden="1"/>
    </xf>
    <xf numFmtId="0" fontId="2" fillId="0" borderId="25" xfId="37" applyNumberFormat="1" applyFont="1" applyFill="1" applyBorder="1" applyAlignment="1" applyProtection="1">
      <alignment horizontal="center" vertical="center" shrinkToFit="1"/>
      <protection hidden="1"/>
    </xf>
    <xf numFmtId="0" fontId="2" fillId="0" borderId="24" xfId="37" applyFont="1" applyBorder="1" applyAlignment="1">
      <alignment horizontal="center" vertical="center" shrinkToFit="1"/>
    </xf>
    <xf numFmtId="0" fontId="2" fillId="0" borderId="10" xfId="43" applyBorder="1"/>
    <xf numFmtId="0" fontId="2" fillId="0" borderId="24" xfId="37" applyNumberFormat="1" applyFont="1" applyFill="1" applyBorder="1" applyAlignment="1" applyProtection="1">
      <alignment horizontal="center" vertical="center" shrinkToFit="1"/>
      <protection hidden="1"/>
    </xf>
    <xf numFmtId="0" fontId="2" fillId="0" borderId="10" xfId="43" applyBorder="1"/>
    <xf numFmtId="0" fontId="2" fillId="0" borderId="10" xfId="43" applyBorder="1"/>
    <xf numFmtId="0" fontId="2" fillId="0" borderId="23" xfId="37" applyNumberFormat="1" applyFont="1" applyFill="1" applyBorder="1" applyAlignment="1" applyProtection="1">
      <alignment horizontal="center" vertical="center" shrinkToFit="1"/>
      <protection hidden="1"/>
    </xf>
    <xf numFmtId="0" fontId="2" fillId="0" borderId="10" xfId="43" applyBorder="1"/>
    <xf numFmtId="0" fontId="2" fillId="0" borderId="10" xfId="43" applyBorder="1"/>
    <xf numFmtId="0" fontId="2" fillId="0" borderId="10" xfId="43" applyBorder="1"/>
    <xf numFmtId="0" fontId="2" fillId="0" borderId="27" xfId="37" applyFont="1" applyBorder="1" applyAlignment="1">
      <alignment horizontal="center" vertical="center" shrinkToFit="1"/>
    </xf>
    <xf numFmtId="0" fontId="2" fillId="0" borderId="26" xfId="37" applyFont="1" applyBorder="1" applyAlignment="1">
      <alignment horizontal="center" vertical="center" shrinkToFit="1"/>
    </xf>
    <xf numFmtId="0" fontId="2" fillId="0" borderId="25" xfId="37" applyFont="1" applyBorder="1" applyAlignment="1">
      <alignment horizontal="center" vertical="center" shrinkToFit="1"/>
    </xf>
    <xf numFmtId="0" fontId="2" fillId="0" borderId="10" xfId="43" applyBorder="1"/>
    <xf numFmtId="0" fontId="2" fillId="0" borderId="10" xfId="43" applyBorder="1"/>
    <xf numFmtId="0" fontId="2" fillId="0" borderId="10" xfId="43" applyBorder="1"/>
    <xf numFmtId="0" fontId="2" fillId="0" borderId="28" xfId="37" applyFont="1" applyBorder="1" applyAlignment="1">
      <alignment horizontal="center" vertical="center" shrinkToFit="1"/>
    </xf>
    <xf numFmtId="0" fontId="2" fillId="0" borderId="29" xfId="37" applyNumberFormat="1" applyFont="1" applyFill="1" applyBorder="1" applyAlignment="1" applyProtection="1">
      <alignment horizontal="center" vertical="center" shrinkToFit="1"/>
      <protection hidden="1"/>
    </xf>
    <xf numFmtId="0" fontId="2" fillId="0" borderId="27" xfId="37" applyNumberFormat="1" applyFont="1" applyFill="1" applyBorder="1" applyAlignment="1" applyProtection="1">
      <alignment horizontal="center" vertical="center" shrinkToFit="1"/>
      <protection hidden="1"/>
    </xf>
    <xf numFmtId="0" fontId="2" fillId="0" borderId="10" xfId="43" applyBorder="1"/>
    <xf numFmtId="0" fontId="3" fillId="0" borderId="0" xfId="37" applyFont="1" applyFill="1" applyAlignment="1">
      <alignment horizontal="center" vertical="center" wrapText="1"/>
    </xf>
    <xf numFmtId="0" fontId="6" fillId="0" borderId="0" xfId="37" applyFont="1" applyFill="1" applyAlignment="1">
      <alignment horizontal="center" vertical="center" wrapText="1"/>
    </xf>
    <xf numFmtId="0" fontId="2" fillId="0" borderId="30" xfId="37" applyNumberFormat="1" applyFont="1" applyFill="1" applyBorder="1" applyAlignment="1" applyProtection="1">
      <alignment horizontal="center" vertical="center" shrinkToFit="1"/>
      <protection hidden="1"/>
    </xf>
    <xf numFmtId="0" fontId="2" fillId="0" borderId="31" xfId="37" applyFont="1" applyBorder="1" applyAlignment="1">
      <alignment horizontal="center" vertical="center" shrinkToFit="1"/>
    </xf>
    <xf numFmtId="0" fontId="2" fillId="0" borderId="32" xfId="37" applyNumberFormat="1" applyFont="1" applyFill="1" applyBorder="1" applyAlignment="1" applyProtection="1">
      <alignment horizontal="center" vertical="center" shrinkToFit="1"/>
      <protection hidden="1"/>
    </xf>
    <xf numFmtId="0" fontId="2" fillId="0" borderId="30" xfId="37" applyFont="1" applyBorder="1" applyAlignment="1">
      <alignment horizontal="center" vertical="center" shrinkToFit="1"/>
    </xf>
    <xf numFmtId="0" fontId="2" fillId="0" borderId="10" xfId="43" applyBorder="1"/>
  </cellXfs>
  <cellStyles count="47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3" xfId="45"/>
    <cellStyle name="Normal_BBS Format" xfId="37"/>
    <cellStyle name="Normal_BBS Program-Free Version" xfId="43"/>
    <cellStyle name="Note" xfId="38" builtinId="10" customBuiltin="1"/>
    <cellStyle name="Note 2" xfId="44"/>
    <cellStyle name="Note 3" xfId="46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ndingschedule.com/download.html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22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12" Type="http://schemas.openxmlformats.org/officeDocument/2006/relationships/image" Target="../media/image21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11" Type="http://schemas.openxmlformats.org/officeDocument/2006/relationships/image" Target="../media/image20.emf"/><Relationship Id="rId5" Type="http://schemas.openxmlformats.org/officeDocument/2006/relationships/image" Target="../media/image14.emf"/><Relationship Id="rId10" Type="http://schemas.openxmlformats.org/officeDocument/2006/relationships/image" Target="../media/image19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Relationship Id="rId1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523875</xdr:colOff>
      <xdr:row>142</xdr:row>
      <xdr:rowOff>76200</xdr:rowOff>
    </xdr:from>
    <xdr:to>
      <xdr:col>18</xdr:col>
      <xdr:colOff>1400175</xdr:colOff>
      <xdr:row>142</xdr:row>
      <xdr:rowOff>257175</xdr:rowOff>
    </xdr:to>
    <xdr:grpSp>
      <xdr:nvGrpSpPr>
        <xdr:cNvPr id="1079" name="Group 1"/>
        <xdr:cNvGrpSpPr>
          <a:grpSpLocks/>
        </xdr:cNvGrpSpPr>
      </xdr:nvGrpSpPr>
      <xdr:grpSpPr bwMode="auto">
        <a:xfrm>
          <a:off x="6591300" y="54454425"/>
          <a:ext cx="876300" cy="180975"/>
          <a:chOff x="594" y="27"/>
          <a:chExt cx="92" cy="19"/>
        </a:xfrm>
      </xdr:grpSpPr>
      <xdr:sp macro="" textlink="">
        <xdr:nvSpPr>
          <xdr:cNvPr id="1080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43">
        <xdr:nvSpPr>
          <xdr:cNvPr id="1081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68BF9F4-A7BA-45BA-BB88-7F77405E621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155</xdr:row>
      <xdr:rowOff>76200</xdr:rowOff>
    </xdr:from>
    <xdr:to>
      <xdr:col>18</xdr:col>
      <xdr:colOff>1400175</xdr:colOff>
      <xdr:row>155</xdr:row>
      <xdr:rowOff>257175</xdr:rowOff>
    </xdr:to>
    <xdr:grpSp>
      <xdr:nvGrpSpPr>
        <xdr:cNvPr id="1216" name="Group 1"/>
        <xdr:cNvGrpSpPr>
          <a:grpSpLocks/>
        </xdr:cNvGrpSpPr>
      </xdr:nvGrpSpPr>
      <xdr:grpSpPr bwMode="auto">
        <a:xfrm>
          <a:off x="6591300" y="59150250"/>
          <a:ext cx="876300" cy="180975"/>
          <a:chOff x="594" y="27"/>
          <a:chExt cx="92" cy="19"/>
        </a:xfrm>
      </xdr:grpSpPr>
      <xdr:sp macro="" textlink="">
        <xdr:nvSpPr>
          <xdr:cNvPr id="1217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56">
        <xdr:nvSpPr>
          <xdr:cNvPr id="1218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354DBAA-B8E0-4AD1-AE40-F37E2CB92CF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4800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13</xdr:row>
      <xdr:rowOff>66675</xdr:rowOff>
    </xdr:from>
    <xdr:to>
      <xdr:col>18</xdr:col>
      <xdr:colOff>1666875</xdr:colOff>
      <xdr:row>13</xdr:row>
      <xdr:rowOff>247650</xdr:rowOff>
    </xdr:to>
    <xdr:grpSp>
      <xdr:nvGrpSpPr>
        <xdr:cNvPr id="1267" name="Group 3085"/>
        <xdr:cNvGrpSpPr>
          <a:grpSpLocks/>
        </xdr:cNvGrpSpPr>
      </xdr:nvGrpSpPr>
      <xdr:grpSpPr bwMode="auto">
        <a:xfrm>
          <a:off x="6124575" y="4229100"/>
          <a:ext cx="1609725" cy="180975"/>
          <a:chOff x="607" y="1007"/>
          <a:chExt cx="169" cy="19"/>
        </a:xfrm>
      </xdr:grpSpPr>
      <xdr:sp macro="" textlink="">
        <xdr:nvSpPr>
          <xdr:cNvPr id="1268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4">
        <xdr:nvSpPr>
          <xdr:cNvPr id="1269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4C445900-6F7A-46A0-B40A-03E18DA492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250</a:t>
            </a:fld>
            <a:endParaRPr lang="en-US"/>
          </a:p>
        </xdr:txBody>
      </xdr:sp>
      <xdr:sp macro="" textlink="J14">
        <xdr:nvSpPr>
          <xdr:cNvPr id="1270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CDE2A55-3D1B-42FA-94B2-917D39E475C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1400</a:t>
            </a:fld>
            <a:endParaRPr lang="en-US"/>
          </a:p>
        </xdr:txBody>
      </xdr:sp>
      <xdr:sp macro="" textlink="K14">
        <xdr:nvSpPr>
          <xdr:cNvPr id="1271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7B24C4F-A32E-4A53-A7A4-BE79C7FC967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250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14</xdr:row>
      <xdr:rowOff>66675</xdr:rowOff>
    </xdr:from>
    <xdr:to>
      <xdr:col>18</xdr:col>
      <xdr:colOff>1666875</xdr:colOff>
      <xdr:row>14</xdr:row>
      <xdr:rowOff>247650</xdr:rowOff>
    </xdr:to>
    <xdr:grpSp>
      <xdr:nvGrpSpPr>
        <xdr:cNvPr id="1283" name="Group 3085"/>
        <xdr:cNvGrpSpPr>
          <a:grpSpLocks/>
        </xdr:cNvGrpSpPr>
      </xdr:nvGrpSpPr>
      <xdr:grpSpPr bwMode="auto">
        <a:xfrm>
          <a:off x="6124575" y="4562475"/>
          <a:ext cx="1609725" cy="180975"/>
          <a:chOff x="607" y="1007"/>
          <a:chExt cx="169" cy="19"/>
        </a:xfrm>
      </xdr:grpSpPr>
      <xdr:sp macro="" textlink="">
        <xdr:nvSpPr>
          <xdr:cNvPr id="1284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5">
        <xdr:nvSpPr>
          <xdr:cNvPr id="1285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E726B48-A116-4645-BADD-1B9AC24201F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J15">
        <xdr:nvSpPr>
          <xdr:cNvPr id="1286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94284F1-A91F-4636-826A-59950DC9FBC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1600</a:t>
            </a:fld>
            <a:endParaRPr lang="en-US"/>
          </a:p>
        </xdr:txBody>
      </xdr:sp>
      <xdr:sp macro="" textlink="K15">
        <xdr:nvSpPr>
          <xdr:cNvPr id="1287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5531486-330D-4795-B860-A36AB86D66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15</xdr:row>
      <xdr:rowOff>66675</xdr:rowOff>
    </xdr:from>
    <xdr:to>
      <xdr:col>18</xdr:col>
      <xdr:colOff>1666875</xdr:colOff>
      <xdr:row>15</xdr:row>
      <xdr:rowOff>247650</xdr:rowOff>
    </xdr:to>
    <xdr:grpSp>
      <xdr:nvGrpSpPr>
        <xdr:cNvPr id="1321" name="Group 3085"/>
        <xdr:cNvGrpSpPr>
          <a:grpSpLocks/>
        </xdr:cNvGrpSpPr>
      </xdr:nvGrpSpPr>
      <xdr:grpSpPr bwMode="auto">
        <a:xfrm>
          <a:off x="6124575" y="4895850"/>
          <a:ext cx="1609725" cy="180975"/>
          <a:chOff x="607" y="1007"/>
          <a:chExt cx="169" cy="19"/>
        </a:xfrm>
      </xdr:grpSpPr>
      <xdr:sp macro="" textlink="">
        <xdr:nvSpPr>
          <xdr:cNvPr id="1322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6">
        <xdr:nvSpPr>
          <xdr:cNvPr id="1323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16C5547-3B25-40F5-9AC1-3D50F51894A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J16">
        <xdr:nvSpPr>
          <xdr:cNvPr id="1324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4602C0D-BB34-4E37-BEB2-17AA092D659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1700</a:t>
            </a:fld>
            <a:endParaRPr lang="en-US"/>
          </a:p>
        </xdr:txBody>
      </xdr:sp>
      <xdr:sp macro="" textlink="K16">
        <xdr:nvSpPr>
          <xdr:cNvPr id="1325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513B9CC-B55B-42F9-9F37-E0EE5266A1A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22</xdr:col>
      <xdr:colOff>457200</xdr:colOff>
      <xdr:row>21</xdr:row>
      <xdr:rowOff>0</xdr:rowOff>
    </xdr:from>
    <xdr:to>
      <xdr:col>25</xdr:col>
      <xdr:colOff>438150</xdr:colOff>
      <xdr:row>21</xdr:row>
      <xdr:rowOff>19050</xdr:rowOff>
    </xdr:to>
    <xdr:grpSp>
      <xdr:nvGrpSpPr>
        <xdr:cNvPr id="1337" name="Group 3094"/>
        <xdr:cNvGrpSpPr>
          <a:grpSpLocks/>
        </xdr:cNvGrpSpPr>
      </xdr:nvGrpSpPr>
      <xdr:grpSpPr bwMode="auto">
        <a:xfrm>
          <a:off x="10067925" y="6829425"/>
          <a:ext cx="1876425" cy="19050"/>
          <a:chOff x="626" y="613"/>
          <a:chExt cx="197" cy="25"/>
        </a:xfrm>
      </xdr:grpSpPr>
      <xdr:sp macro="" textlink="I25">
        <xdr:nvSpPr>
          <xdr:cNvPr id="133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4235CEA-51EF-482B-8F27-C5277C61A3C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25">
        <xdr:nvSpPr>
          <xdr:cNvPr id="1339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D66847C-786E-446D-AC37-8A140A8F862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5">
        <xdr:nvSpPr>
          <xdr:cNvPr id="1340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08427DC-813F-45D2-A02A-AF296324F81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L25">
        <xdr:nvSpPr>
          <xdr:cNvPr id="1341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538A9A9-3A9D-47FD-856B-29083274C04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5">
        <xdr:nvSpPr>
          <xdr:cNvPr id="134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ED0C559-C0C9-43C5-B90E-A42F9146C37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 </a:t>
            </a:fld>
            <a:endParaRPr lang="en-US"/>
          </a:p>
        </xdr:txBody>
      </xdr:sp>
      <xdr:sp macro="" textlink="">
        <xdr:nvSpPr>
          <xdr:cNvPr id="134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34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27</xdr:row>
      <xdr:rowOff>28575</xdr:rowOff>
    </xdr:from>
    <xdr:to>
      <xdr:col>18</xdr:col>
      <xdr:colOff>1724025</xdr:colOff>
      <xdr:row>27</xdr:row>
      <xdr:rowOff>295275</xdr:rowOff>
    </xdr:to>
    <xdr:grpSp>
      <xdr:nvGrpSpPr>
        <xdr:cNvPr id="1366" name="Group 3050"/>
        <xdr:cNvGrpSpPr>
          <a:grpSpLocks/>
        </xdr:cNvGrpSpPr>
      </xdr:nvGrpSpPr>
      <xdr:grpSpPr bwMode="auto">
        <a:xfrm>
          <a:off x="6124575" y="8858250"/>
          <a:ext cx="1666875" cy="266700"/>
          <a:chOff x="589" y="376"/>
          <a:chExt cx="175" cy="28"/>
        </a:xfrm>
      </xdr:grpSpPr>
      <xdr:sp macro="" textlink="I28">
        <xdr:nvSpPr>
          <xdr:cNvPr id="1367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4DC3FCF-CE2F-40EB-8328-857B5E98DC1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28">
        <xdr:nvSpPr>
          <xdr:cNvPr id="1368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A16F044-E616-4755-94E9-0572B36F593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28">
        <xdr:nvSpPr>
          <xdr:cNvPr id="1369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DE65336-B8C1-4231-90CF-634B301A5F2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370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371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106</xdr:row>
      <xdr:rowOff>47625</xdr:rowOff>
    </xdr:from>
    <xdr:to>
      <xdr:col>18</xdr:col>
      <xdr:colOff>1819275</xdr:colOff>
      <xdr:row>106</xdr:row>
      <xdr:rowOff>447675</xdr:rowOff>
    </xdr:to>
    <xdr:grpSp>
      <xdr:nvGrpSpPr>
        <xdr:cNvPr id="1517" name="Group 3087"/>
        <xdr:cNvGrpSpPr>
          <a:grpSpLocks/>
        </xdr:cNvGrpSpPr>
      </xdr:nvGrpSpPr>
      <xdr:grpSpPr bwMode="auto">
        <a:xfrm>
          <a:off x="6124575" y="36099750"/>
          <a:ext cx="1762125" cy="285750"/>
          <a:chOff x="607" y="1080"/>
          <a:chExt cx="185" cy="42"/>
        </a:xfrm>
      </xdr:grpSpPr>
      <xdr:sp macro="" textlink="I107">
        <xdr:nvSpPr>
          <xdr:cNvPr id="1518" name="Text Box 53"/>
          <xdr:cNvSpPr txBox="1">
            <a:spLocks noChangeArrowheads="1" noTextEdit="1"/>
          </xdr:cNvSpPr>
        </xdr:nvSpPr>
        <xdr:spPr bwMode="auto">
          <a:xfrm>
            <a:off x="682" y="110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748941C-CA3D-45CE-9CC4-48A1A3C45E8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3000</a:t>
            </a:fld>
            <a:endParaRPr lang="en-US"/>
          </a:p>
        </xdr:txBody>
      </xdr:sp>
      <xdr:sp macro="" textlink="J107">
        <xdr:nvSpPr>
          <xdr:cNvPr id="1519" name="Text Box 54"/>
          <xdr:cNvSpPr txBox="1">
            <a:spLocks noChangeArrowheads="1" noTextEdit="1"/>
          </xdr:cNvSpPr>
        </xdr:nvSpPr>
        <xdr:spPr bwMode="auto">
          <a:xfrm>
            <a:off x="696" y="1080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1A370A8-603C-442B-8D69-25450CF9E87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1500</a:t>
            </a:fld>
            <a:endParaRPr lang="en-US"/>
          </a:p>
        </xdr:txBody>
      </xdr:sp>
      <xdr:sp macro="" textlink="K107">
        <xdr:nvSpPr>
          <xdr:cNvPr id="1520" name="Text Box 55"/>
          <xdr:cNvSpPr txBox="1">
            <a:spLocks noChangeArrowheads="1" noTextEdit="1"/>
          </xdr:cNvSpPr>
        </xdr:nvSpPr>
        <xdr:spPr bwMode="auto">
          <a:xfrm>
            <a:off x="743" y="10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6DAE66F-7D25-452F-8A4F-534BFCFC968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100</a:t>
            </a:fld>
            <a:endParaRPr lang="en-US"/>
          </a:p>
        </xdr:txBody>
      </xdr:sp>
      <xdr:sp macro="" textlink="L107">
        <xdr:nvSpPr>
          <xdr:cNvPr id="1521" name="Text Box 56"/>
          <xdr:cNvSpPr txBox="1">
            <a:spLocks noChangeArrowheads="1" noTextEdit="1"/>
          </xdr:cNvSpPr>
        </xdr:nvSpPr>
        <xdr:spPr bwMode="auto">
          <a:xfrm>
            <a:off x="607" y="109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F71B381-1D18-4579-BBAA-BC71CD1BBF9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1600</a:t>
            </a:fld>
            <a:endParaRPr lang="en-US"/>
          </a:p>
        </xdr:txBody>
      </xdr:sp>
      <xdr:sp macro="" textlink="">
        <xdr:nvSpPr>
          <xdr:cNvPr id="1522" name="Freeform 57"/>
          <xdr:cNvSpPr>
            <a:spLocks/>
          </xdr:cNvSpPr>
        </xdr:nvSpPr>
        <xdr:spPr bwMode="auto">
          <a:xfrm>
            <a:off x="665" y="1097"/>
            <a:ext cx="75" cy="23"/>
          </a:xfrm>
          <a:custGeom>
            <a:avLst/>
            <a:gdLst>
              <a:gd name="T0" fmla="*/ 0 w 75"/>
              <a:gd name="T1" fmla="*/ 23 h 23"/>
              <a:gd name="T2" fmla="*/ 30 w 75"/>
              <a:gd name="T3" fmla="*/ 0 h 23"/>
              <a:gd name="T4" fmla="*/ 72 w 75"/>
              <a:gd name="T5" fmla="*/ 0 h 23"/>
              <a:gd name="T6" fmla="*/ 75 w 75"/>
              <a:gd name="T7" fmla="*/ 3 h 23"/>
              <a:gd name="T8" fmla="*/ 75 w 75"/>
              <a:gd name="T9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75" h="23">
                <a:moveTo>
                  <a:pt x="0" y="23"/>
                </a:moveTo>
                <a:lnTo>
                  <a:pt x="30" y="0"/>
                </a:lnTo>
                <a:cubicBezTo>
                  <a:pt x="30" y="0"/>
                  <a:pt x="51" y="0"/>
                  <a:pt x="72" y="0"/>
                </a:cubicBezTo>
                <a:cubicBezTo>
                  <a:pt x="75" y="0"/>
                  <a:pt x="75" y="3"/>
                  <a:pt x="75" y="3"/>
                </a:cubicBezTo>
                <a:lnTo>
                  <a:pt x="75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523" name="Freeform 58"/>
          <xdr:cNvSpPr>
            <a:spLocks/>
          </xdr:cNvSpPr>
        </xdr:nvSpPr>
        <xdr:spPr bwMode="auto">
          <a:xfrm>
            <a:off x="657" y="1097"/>
            <a:ext cx="30" cy="23"/>
          </a:xfrm>
          <a:custGeom>
            <a:avLst/>
            <a:gdLst>
              <a:gd name="T0" fmla="*/ 0 w 30"/>
              <a:gd name="T1" fmla="*/ 0 h 23"/>
              <a:gd name="T2" fmla="*/ 30 w 30"/>
              <a:gd name="T3" fmla="*/ 0 h 23"/>
              <a:gd name="T4" fmla="*/ 0 w 30"/>
              <a:gd name="T5" fmla="*/ 0 h 23"/>
              <a:gd name="T6" fmla="*/ 0 w 30"/>
              <a:gd name="T7" fmla="*/ 23 h 23"/>
              <a:gd name="T8" fmla="*/ 4 w 30"/>
              <a:gd name="T9" fmla="*/ 23 h 23"/>
              <a:gd name="T10" fmla="*/ 0 w 30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0" h="23">
                <a:moveTo>
                  <a:pt x="0" y="0"/>
                </a:moveTo>
                <a:lnTo>
                  <a:pt x="30" y="0"/>
                </a:lnTo>
                <a:lnTo>
                  <a:pt x="0" y="0"/>
                </a:lnTo>
                <a:lnTo>
                  <a:pt x="0" y="23"/>
                </a:lnTo>
                <a:lnTo>
                  <a:pt x="4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11</xdr:row>
      <xdr:rowOff>66675</xdr:rowOff>
    </xdr:from>
    <xdr:to>
      <xdr:col>18</xdr:col>
      <xdr:colOff>1666875</xdr:colOff>
      <xdr:row>11</xdr:row>
      <xdr:rowOff>247650</xdr:rowOff>
    </xdr:to>
    <xdr:grpSp>
      <xdr:nvGrpSpPr>
        <xdr:cNvPr id="600" name="Group 3085"/>
        <xdr:cNvGrpSpPr>
          <a:grpSpLocks/>
        </xdr:cNvGrpSpPr>
      </xdr:nvGrpSpPr>
      <xdr:grpSpPr bwMode="auto">
        <a:xfrm>
          <a:off x="6124575" y="3562350"/>
          <a:ext cx="1609725" cy="180975"/>
          <a:chOff x="607" y="1007"/>
          <a:chExt cx="169" cy="19"/>
        </a:xfrm>
      </xdr:grpSpPr>
      <xdr:sp macro="" textlink="">
        <xdr:nvSpPr>
          <xdr:cNvPr id="601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2">
        <xdr:nvSpPr>
          <xdr:cNvPr id="602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E5DE543-DF2D-4FE8-9A9F-E70C00792C2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200</a:t>
            </a:fld>
            <a:endParaRPr lang="en-US"/>
          </a:p>
        </xdr:txBody>
      </xdr:sp>
      <xdr:sp macro="" textlink="J12">
        <xdr:nvSpPr>
          <xdr:cNvPr id="603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55DAAE7-2E6F-4B5D-B725-70B83011187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K12">
        <xdr:nvSpPr>
          <xdr:cNvPr id="604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310AC0A-6862-4A0E-8815-95CCDD0ECBF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200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12</xdr:row>
      <xdr:rowOff>66675</xdr:rowOff>
    </xdr:from>
    <xdr:to>
      <xdr:col>18</xdr:col>
      <xdr:colOff>1666875</xdr:colOff>
      <xdr:row>12</xdr:row>
      <xdr:rowOff>247650</xdr:rowOff>
    </xdr:to>
    <xdr:grpSp>
      <xdr:nvGrpSpPr>
        <xdr:cNvPr id="611" name="Group 3085"/>
        <xdr:cNvGrpSpPr>
          <a:grpSpLocks/>
        </xdr:cNvGrpSpPr>
      </xdr:nvGrpSpPr>
      <xdr:grpSpPr bwMode="auto">
        <a:xfrm>
          <a:off x="6124575" y="3895725"/>
          <a:ext cx="1609725" cy="180975"/>
          <a:chOff x="607" y="1007"/>
          <a:chExt cx="169" cy="19"/>
        </a:xfrm>
      </xdr:grpSpPr>
      <xdr:sp macro="" textlink="">
        <xdr:nvSpPr>
          <xdr:cNvPr id="612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3">
        <xdr:nvSpPr>
          <xdr:cNvPr id="613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493CBBAA-6DD2-496E-BBC0-53D246916E0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250</a:t>
            </a:fld>
            <a:endParaRPr lang="en-US"/>
          </a:p>
        </xdr:txBody>
      </xdr:sp>
      <xdr:sp macro="" textlink="J13">
        <xdr:nvSpPr>
          <xdr:cNvPr id="614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BA0C0A2-1FAC-489B-9BCC-E103567993E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1300</a:t>
            </a:fld>
            <a:endParaRPr lang="en-US"/>
          </a:p>
        </xdr:txBody>
      </xdr:sp>
      <xdr:sp macro="" textlink="K13">
        <xdr:nvSpPr>
          <xdr:cNvPr id="615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65E21BB-1F28-4BDA-A212-D4992C12375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250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157</xdr:row>
      <xdr:rowOff>76200</xdr:rowOff>
    </xdr:from>
    <xdr:to>
      <xdr:col>18</xdr:col>
      <xdr:colOff>1400175</xdr:colOff>
      <xdr:row>157</xdr:row>
      <xdr:rowOff>257175</xdr:rowOff>
    </xdr:to>
    <xdr:grpSp>
      <xdr:nvGrpSpPr>
        <xdr:cNvPr id="794" name="Group 1"/>
        <xdr:cNvGrpSpPr>
          <a:grpSpLocks/>
        </xdr:cNvGrpSpPr>
      </xdr:nvGrpSpPr>
      <xdr:grpSpPr bwMode="auto">
        <a:xfrm>
          <a:off x="6591300" y="59817000"/>
          <a:ext cx="876300" cy="180975"/>
          <a:chOff x="594" y="27"/>
          <a:chExt cx="92" cy="19"/>
        </a:xfrm>
      </xdr:grpSpPr>
      <xdr:sp macro="" textlink="">
        <xdr:nvSpPr>
          <xdr:cNvPr id="795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58">
        <xdr:nvSpPr>
          <xdr:cNvPr id="796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53C0F72-7EB3-45D9-93EF-C81B0300662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7200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232</xdr:row>
      <xdr:rowOff>47625</xdr:rowOff>
    </xdr:from>
    <xdr:to>
      <xdr:col>18</xdr:col>
      <xdr:colOff>1933575</xdr:colOff>
      <xdr:row>232</xdr:row>
      <xdr:rowOff>285750</xdr:rowOff>
    </xdr:to>
    <xdr:grpSp>
      <xdr:nvGrpSpPr>
        <xdr:cNvPr id="1316" name="Group 3094"/>
        <xdr:cNvGrpSpPr>
          <a:grpSpLocks/>
        </xdr:cNvGrpSpPr>
      </xdr:nvGrpSpPr>
      <xdr:grpSpPr bwMode="auto">
        <a:xfrm>
          <a:off x="6124575" y="87515700"/>
          <a:ext cx="1876425" cy="238125"/>
          <a:chOff x="626" y="613"/>
          <a:chExt cx="197" cy="25"/>
        </a:xfrm>
      </xdr:grpSpPr>
      <xdr:sp macro="" textlink="I233">
        <xdr:nvSpPr>
          <xdr:cNvPr id="1317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6B7382E-E09F-47C7-A0FD-8E444F08677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33">
        <xdr:nvSpPr>
          <xdr:cNvPr id="1318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CB7E0D5-9497-4046-B6CC-CD6CA250A3B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33">
        <xdr:nvSpPr>
          <xdr:cNvPr id="1319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8080015-BE12-4FCB-9E24-876E439F85A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4850</a:t>
            </a:fld>
            <a:endParaRPr lang="en-US"/>
          </a:p>
        </xdr:txBody>
      </xdr:sp>
      <xdr:sp macro="" textlink="L233">
        <xdr:nvSpPr>
          <xdr:cNvPr id="1320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BFEABB2-F751-4BDC-8C4A-05846989008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33">
        <xdr:nvSpPr>
          <xdr:cNvPr id="1326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F3392E7-3AAD-42B7-AA32-DCB1F538B5B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1327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328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255</xdr:row>
      <xdr:rowOff>57150</xdr:rowOff>
    </xdr:from>
    <xdr:to>
      <xdr:col>18</xdr:col>
      <xdr:colOff>1905000</xdr:colOff>
      <xdr:row>255</xdr:row>
      <xdr:rowOff>647700</xdr:rowOff>
    </xdr:to>
    <xdr:grpSp>
      <xdr:nvGrpSpPr>
        <xdr:cNvPr id="1676" name="Group 2968"/>
        <xdr:cNvGrpSpPr>
          <a:grpSpLocks/>
        </xdr:cNvGrpSpPr>
      </xdr:nvGrpSpPr>
      <xdr:grpSpPr bwMode="auto">
        <a:xfrm>
          <a:off x="6124575" y="96640650"/>
          <a:ext cx="1847850" cy="590550"/>
          <a:chOff x="543" y="12509"/>
          <a:chExt cx="194" cy="62"/>
        </a:xfrm>
      </xdr:grpSpPr>
      <xdr:sp macro="" textlink="">
        <xdr:nvSpPr>
          <xdr:cNvPr id="1677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56">
        <xdr:nvSpPr>
          <xdr:cNvPr id="1678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7A75903-6BAC-4D7A-A95C-B30C201764B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256">
        <xdr:nvSpPr>
          <xdr:cNvPr id="1679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824B406-507B-4C22-82AB-F776F5E348A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256">
        <xdr:nvSpPr>
          <xdr:cNvPr id="1680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4C99FD0-DD41-42EC-BC51-1E0AB86F4AC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  <xdr:sp macro="" textlink="L256">
        <xdr:nvSpPr>
          <xdr:cNvPr id="1681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E852546-0B58-4C6F-A0CA-29887CCFD60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256">
        <xdr:nvSpPr>
          <xdr:cNvPr id="1682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DF318A6-9E1C-4CE5-A164-A752C427CE2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1683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84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85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256">
        <xdr:nvSpPr>
          <xdr:cNvPr id="1686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A3D1B36-ED25-4E53-BC6B-505FA30F376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266</xdr:row>
      <xdr:rowOff>76200</xdr:rowOff>
    </xdr:from>
    <xdr:to>
      <xdr:col>18</xdr:col>
      <xdr:colOff>1400175</xdr:colOff>
      <xdr:row>266</xdr:row>
      <xdr:rowOff>257175</xdr:rowOff>
    </xdr:to>
    <xdr:grpSp>
      <xdr:nvGrpSpPr>
        <xdr:cNvPr id="1766" name="Group 1"/>
        <xdr:cNvGrpSpPr>
          <a:grpSpLocks/>
        </xdr:cNvGrpSpPr>
      </xdr:nvGrpSpPr>
      <xdr:grpSpPr bwMode="auto">
        <a:xfrm>
          <a:off x="6591300" y="100669725"/>
          <a:ext cx="876300" cy="180975"/>
          <a:chOff x="594" y="27"/>
          <a:chExt cx="92" cy="19"/>
        </a:xfrm>
      </xdr:grpSpPr>
      <xdr:sp macro="" textlink="">
        <xdr:nvSpPr>
          <xdr:cNvPr id="1767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67">
        <xdr:nvSpPr>
          <xdr:cNvPr id="1768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67E0B45-C46E-42B3-A512-DB6C346F3E0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5325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272</xdr:row>
      <xdr:rowOff>76200</xdr:rowOff>
    </xdr:from>
    <xdr:to>
      <xdr:col>18</xdr:col>
      <xdr:colOff>1400175</xdr:colOff>
      <xdr:row>272</xdr:row>
      <xdr:rowOff>257175</xdr:rowOff>
    </xdr:to>
    <xdr:grpSp>
      <xdr:nvGrpSpPr>
        <xdr:cNvPr id="1835" name="Group 1"/>
        <xdr:cNvGrpSpPr>
          <a:grpSpLocks/>
        </xdr:cNvGrpSpPr>
      </xdr:nvGrpSpPr>
      <xdr:grpSpPr bwMode="auto">
        <a:xfrm>
          <a:off x="6591300" y="103031925"/>
          <a:ext cx="876300" cy="180975"/>
          <a:chOff x="594" y="27"/>
          <a:chExt cx="92" cy="19"/>
        </a:xfrm>
      </xdr:grpSpPr>
      <xdr:sp macro="" textlink="">
        <xdr:nvSpPr>
          <xdr:cNvPr id="1836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73">
        <xdr:nvSpPr>
          <xdr:cNvPr id="1837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583955B-0325-4FB4-B120-15DF3C5805E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6225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10</xdr:row>
      <xdr:rowOff>66675</xdr:rowOff>
    </xdr:from>
    <xdr:to>
      <xdr:col>18</xdr:col>
      <xdr:colOff>1666875</xdr:colOff>
      <xdr:row>10</xdr:row>
      <xdr:rowOff>247650</xdr:rowOff>
    </xdr:to>
    <xdr:grpSp>
      <xdr:nvGrpSpPr>
        <xdr:cNvPr id="904" name="Group 3085"/>
        <xdr:cNvGrpSpPr>
          <a:grpSpLocks/>
        </xdr:cNvGrpSpPr>
      </xdr:nvGrpSpPr>
      <xdr:grpSpPr bwMode="auto">
        <a:xfrm>
          <a:off x="6124575" y="3228975"/>
          <a:ext cx="1609725" cy="180975"/>
          <a:chOff x="607" y="1007"/>
          <a:chExt cx="169" cy="19"/>
        </a:xfrm>
      </xdr:grpSpPr>
      <xdr:sp macro="" textlink="">
        <xdr:nvSpPr>
          <xdr:cNvPr id="905" name="Freeform 904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1">
        <xdr:nvSpPr>
          <xdr:cNvPr id="906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1004766-ADA2-4267-8EDC-75EB3666E26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200</a:t>
            </a:fld>
            <a:endParaRPr lang="en-US"/>
          </a:p>
        </xdr:txBody>
      </xdr:sp>
      <xdr:sp macro="" textlink="J11">
        <xdr:nvSpPr>
          <xdr:cNvPr id="907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DBD1FC6-C6E1-4D17-9CB5-4AF7E7811E4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1100</a:t>
            </a:fld>
            <a:endParaRPr lang="en-US"/>
          </a:p>
        </xdr:txBody>
      </xdr:sp>
      <xdr:sp macro="" textlink="K11">
        <xdr:nvSpPr>
          <xdr:cNvPr id="908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A7122B0-CF3F-4DCD-9A7D-6237A8F3789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200</a:t>
            </a:fld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9525</xdr:colOff>
          <xdr:row>0</xdr:row>
          <xdr:rowOff>9525</xdr:rowOff>
        </xdr:to>
        <xdr:sp macro="" textlink="">
          <xdr:nvSpPr>
            <xdr:cNvPr id="144386" name="PrintOptionLabel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152400</xdr:rowOff>
        </xdr:from>
        <xdr:to>
          <xdr:col>1</xdr:col>
          <xdr:colOff>152400</xdr:colOff>
          <xdr:row>1</xdr:row>
          <xdr:rowOff>0</xdr:rowOff>
        </xdr:to>
        <xdr:sp macro="" textlink="">
          <xdr:nvSpPr>
            <xdr:cNvPr id="144387" name="BBSProgram" hidden="1">
              <a:extLst>
                <a:ext uri="{63B3BB69-23CF-44E3-9099-C40C66FF867C}">
                  <a14:compatExt spid="_x0000_s144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104775</xdr:rowOff>
        </xdr:from>
        <xdr:to>
          <xdr:col>1</xdr:col>
          <xdr:colOff>314325</xdr:colOff>
          <xdr:row>1</xdr:row>
          <xdr:rowOff>114300</xdr:rowOff>
        </xdr:to>
        <xdr:sp macro="" textlink="">
          <xdr:nvSpPr>
            <xdr:cNvPr id="144388" name="ProgramFileFullName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</xdr:row>
          <xdr:rowOff>257175</xdr:rowOff>
        </xdr:from>
        <xdr:to>
          <xdr:col>1</xdr:col>
          <xdr:colOff>466725</xdr:colOff>
          <xdr:row>1</xdr:row>
          <xdr:rowOff>266700</xdr:rowOff>
        </xdr:to>
        <xdr:sp macro="" textlink="">
          <xdr:nvSpPr>
            <xdr:cNvPr id="144389" name="AutomaticallyOpenProgramFile" hidden="1">
              <a:extLst>
                <a:ext uri="{63B3BB69-23CF-44E3-9099-C40C66FF867C}">
                  <a14:compatExt spid="_x0000_s144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76200</xdr:colOff>
          <xdr:row>0</xdr:row>
          <xdr:rowOff>76200</xdr:rowOff>
        </xdr:to>
        <xdr:sp macro="" textlink="">
          <xdr:nvSpPr>
            <xdr:cNvPr id="144390" name="CodeColumn" hidden="1">
              <a:extLst>
                <a:ext uri="{63B3BB69-23CF-44E3-9099-C40C66FF867C}">
                  <a14:compatExt spid="_x0000_s144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9525</xdr:colOff>
          <xdr:row>0</xdr:row>
          <xdr:rowOff>9525</xdr:rowOff>
        </xdr:to>
        <xdr:sp macro="" textlink="">
          <xdr:nvSpPr>
            <xdr:cNvPr id="144391" name="LastRowOfSummary" hidden="1">
              <a:extLst>
                <a:ext uri="{63B3BB69-23CF-44E3-9099-C40C66FF867C}">
                  <a14:compatExt spid="_x0000_s144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2</xdr:row>
          <xdr:rowOff>0</xdr:rowOff>
        </xdr:from>
        <xdr:to>
          <xdr:col>1</xdr:col>
          <xdr:colOff>619125</xdr:colOff>
          <xdr:row>2</xdr:row>
          <xdr:rowOff>9525</xdr:rowOff>
        </xdr:to>
        <xdr:sp macro="" textlink="">
          <xdr:nvSpPr>
            <xdr:cNvPr id="144396" name="Capitalization" hidden="1">
              <a:extLst>
                <a:ext uri="{63B3BB69-23CF-44E3-9099-C40C66FF867C}">
                  <a14:compatExt spid="_x0000_s144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152400</xdr:rowOff>
        </xdr:from>
        <xdr:to>
          <xdr:col>0</xdr:col>
          <xdr:colOff>161925</xdr:colOff>
          <xdr:row>1</xdr:row>
          <xdr:rowOff>0</xdr:rowOff>
        </xdr:to>
        <xdr:sp macro="" textlink="">
          <xdr:nvSpPr>
            <xdr:cNvPr id="144397" name="Registered" hidden="1">
              <a:extLst>
                <a:ext uri="{63B3BB69-23CF-44E3-9099-C40C66FF867C}">
                  <a14:compatExt spid="_x0000_s144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476250</xdr:colOff>
          <xdr:row>0</xdr:row>
          <xdr:rowOff>0</xdr:rowOff>
        </xdr:from>
        <xdr:to>
          <xdr:col>21</xdr:col>
          <xdr:colOff>400050</xdr:colOff>
          <xdr:row>1</xdr:row>
          <xdr:rowOff>66675</xdr:rowOff>
        </xdr:to>
        <xdr:sp macro="" textlink="">
          <xdr:nvSpPr>
            <xdr:cNvPr id="144398" name="Open_OptionsForm" hidden="1">
              <a:extLst>
                <a:ext uri="{63B3BB69-23CF-44E3-9099-C40C66FF867C}">
                  <a14:compatExt spid="_x0000_s144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23</xdr:col>
      <xdr:colOff>9525</xdr:colOff>
      <xdr:row>19</xdr:row>
      <xdr:rowOff>0</xdr:rowOff>
    </xdr:from>
    <xdr:to>
      <xdr:col>25</xdr:col>
      <xdr:colOff>476250</xdr:colOff>
      <xdr:row>19</xdr:row>
      <xdr:rowOff>247650</xdr:rowOff>
    </xdr:to>
    <xdr:grpSp>
      <xdr:nvGrpSpPr>
        <xdr:cNvPr id="1037" name="Group 2759"/>
        <xdr:cNvGrpSpPr>
          <a:grpSpLocks/>
        </xdr:cNvGrpSpPr>
      </xdr:nvGrpSpPr>
      <xdr:grpSpPr bwMode="auto">
        <a:xfrm>
          <a:off x="10229850" y="6162675"/>
          <a:ext cx="1752600" cy="247650"/>
          <a:chOff x="830" y="4553"/>
          <a:chExt cx="184" cy="51"/>
        </a:xfrm>
      </xdr:grpSpPr>
      <xdr:sp macro="" textlink="">
        <xdr:nvSpPr>
          <xdr:cNvPr id="1038" name="Freeform 2760"/>
          <xdr:cNvSpPr>
            <a:spLocks noChangeAspect="1"/>
          </xdr:cNvSpPr>
        </xdr:nvSpPr>
        <xdr:spPr bwMode="auto">
          <a:xfrm>
            <a:off x="865" y="4553"/>
            <a:ext cx="113" cy="38"/>
          </a:xfrm>
          <a:custGeom>
            <a:avLst/>
            <a:gdLst>
              <a:gd name="T0" fmla="*/ 113 w 113"/>
              <a:gd name="T1" fmla="*/ 0 h 38"/>
              <a:gd name="T2" fmla="*/ 113 w 113"/>
              <a:gd name="T3" fmla="*/ 20 h 38"/>
              <a:gd name="T4" fmla="*/ 110 w 113"/>
              <a:gd name="T5" fmla="*/ 23 h 38"/>
              <a:gd name="T6" fmla="*/ 68 w 113"/>
              <a:gd name="T7" fmla="*/ 23 h 38"/>
              <a:gd name="T8" fmla="*/ 50 w 113"/>
              <a:gd name="T9" fmla="*/ 38 h 38"/>
              <a:gd name="T10" fmla="*/ 0 w 113"/>
              <a:gd name="T11" fmla="*/ 38 h 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3" h="38">
                <a:moveTo>
                  <a:pt x="113" y="0"/>
                </a:moveTo>
                <a:cubicBezTo>
                  <a:pt x="113" y="0"/>
                  <a:pt x="113" y="10"/>
                  <a:pt x="113" y="20"/>
                </a:cubicBezTo>
                <a:cubicBezTo>
                  <a:pt x="113" y="23"/>
                  <a:pt x="110" y="23"/>
                  <a:pt x="110" y="23"/>
                </a:cubicBezTo>
                <a:lnTo>
                  <a:pt x="68" y="23"/>
                </a:lnTo>
                <a:lnTo>
                  <a:pt x="50" y="38"/>
                </a:lnTo>
                <a:lnTo>
                  <a:pt x="0" y="3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45" name="Text Box 2761">
            <a:hlinkClick xmlns:r="http://schemas.openxmlformats.org/officeDocument/2006/relationships" r:id="rId1"/>
          </xdr:cNvPr>
          <xdr:cNvSpPr txBox="1">
            <a:spLocks noChangeArrowheads="1"/>
          </xdr:cNvSpPr>
        </xdr:nvSpPr>
        <xdr:spPr bwMode="auto">
          <a:xfrm>
            <a:off x="830" y="4567"/>
            <a:ext cx="184" cy="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u="none" strike="noStrike" baseline="0">
                <a:solidFill>
                  <a:srgbClr val="000080"/>
                </a:solidFill>
                <a:latin typeface="Tahoma"/>
                <a:ea typeface="Tahoma"/>
                <a:cs typeface="Tahoma"/>
              </a:rPr>
              <a:t>For Licensed version only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sz="1000" b="0" i="0" u="none" strike="noStrike" baseline="0">
                <a:solidFill>
                  <a:srgbClr val="000080"/>
                </a:solidFill>
                <a:latin typeface="Tahoma"/>
                <a:ea typeface="Tahoma"/>
                <a:cs typeface="Tahoma"/>
              </a:rPr>
              <a:t>www.BendingSchedule.com</a:t>
            </a:r>
            <a:endParaRPr lang="en-US"/>
          </a:p>
        </xdr:txBody>
      </xdr:sp>
    </xdr:grpSp>
    <xdr:clientData/>
  </xdr:twoCellAnchor>
  <xdr:twoCellAnchor>
    <xdr:from>
      <xdr:col>18</xdr:col>
      <xdr:colOff>57150</xdr:colOff>
      <xdr:row>19</xdr:row>
      <xdr:rowOff>66675</xdr:rowOff>
    </xdr:from>
    <xdr:to>
      <xdr:col>18</xdr:col>
      <xdr:colOff>1666875</xdr:colOff>
      <xdr:row>19</xdr:row>
      <xdr:rowOff>247650</xdr:rowOff>
    </xdr:to>
    <xdr:grpSp>
      <xdr:nvGrpSpPr>
        <xdr:cNvPr id="990" name="Group 3085"/>
        <xdr:cNvGrpSpPr>
          <a:grpSpLocks/>
        </xdr:cNvGrpSpPr>
      </xdr:nvGrpSpPr>
      <xdr:grpSpPr bwMode="auto">
        <a:xfrm>
          <a:off x="6124575" y="6229350"/>
          <a:ext cx="1609725" cy="180975"/>
          <a:chOff x="607" y="1007"/>
          <a:chExt cx="169" cy="19"/>
        </a:xfrm>
      </xdr:grpSpPr>
      <xdr:sp macro="" textlink="">
        <xdr:nvSpPr>
          <xdr:cNvPr id="1025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0">
        <xdr:nvSpPr>
          <xdr:cNvPr id="1026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ED7A9AA-8C6D-4EFF-AFC2-D74B3948DDD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250</a:t>
            </a:fld>
            <a:endParaRPr lang="en-US"/>
          </a:p>
        </xdr:txBody>
      </xdr:sp>
      <xdr:sp macro="" textlink="J20">
        <xdr:nvSpPr>
          <xdr:cNvPr id="1027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6933EB2-6C8B-4D41-AAE5-FB75BB0ADA8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2562</a:t>
            </a:fld>
            <a:endParaRPr lang="en-US"/>
          </a:p>
        </xdr:txBody>
      </xdr:sp>
      <xdr:sp macro="" textlink="K20">
        <xdr:nvSpPr>
          <xdr:cNvPr id="1034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0E4F01B-9E98-4730-810D-D368E153CF6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250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18</xdr:row>
      <xdr:rowOff>66675</xdr:rowOff>
    </xdr:from>
    <xdr:to>
      <xdr:col>18</xdr:col>
      <xdr:colOff>1666875</xdr:colOff>
      <xdr:row>18</xdr:row>
      <xdr:rowOff>247650</xdr:rowOff>
    </xdr:to>
    <xdr:grpSp>
      <xdr:nvGrpSpPr>
        <xdr:cNvPr id="1035" name="Group 3085"/>
        <xdr:cNvGrpSpPr>
          <a:grpSpLocks/>
        </xdr:cNvGrpSpPr>
      </xdr:nvGrpSpPr>
      <xdr:grpSpPr bwMode="auto">
        <a:xfrm>
          <a:off x="6124575" y="5895975"/>
          <a:ext cx="1609725" cy="180975"/>
          <a:chOff x="607" y="1007"/>
          <a:chExt cx="169" cy="19"/>
        </a:xfrm>
      </xdr:grpSpPr>
      <xdr:sp macro="" textlink="">
        <xdr:nvSpPr>
          <xdr:cNvPr id="1036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9">
        <xdr:nvSpPr>
          <xdr:cNvPr id="1046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D1005A0-3103-49D1-BE31-66D79470E88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400</a:t>
            </a:fld>
            <a:endParaRPr lang="en-US"/>
          </a:p>
        </xdr:txBody>
      </xdr:sp>
      <xdr:sp macro="" textlink="J19">
        <xdr:nvSpPr>
          <xdr:cNvPr id="1050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BB49FEA-4891-49D4-BE24-1E5B7505165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1400</a:t>
            </a:fld>
            <a:endParaRPr lang="en-US"/>
          </a:p>
        </xdr:txBody>
      </xdr:sp>
      <xdr:sp macro="" textlink="K19">
        <xdr:nvSpPr>
          <xdr:cNvPr id="1051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CC0B414-5C5A-4D24-9C1F-506428F6E84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400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17</xdr:row>
      <xdr:rowOff>66675</xdr:rowOff>
    </xdr:from>
    <xdr:to>
      <xdr:col>18</xdr:col>
      <xdr:colOff>1666875</xdr:colOff>
      <xdr:row>17</xdr:row>
      <xdr:rowOff>247650</xdr:rowOff>
    </xdr:to>
    <xdr:grpSp>
      <xdr:nvGrpSpPr>
        <xdr:cNvPr id="1052" name="Group 3085"/>
        <xdr:cNvGrpSpPr>
          <a:grpSpLocks/>
        </xdr:cNvGrpSpPr>
      </xdr:nvGrpSpPr>
      <xdr:grpSpPr bwMode="auto">
        <a:xfrm>
          <a:off x="6124575" y="5562600"/>
          <a:ext cx="1609725" cy="180975"/>
          <a:chOff x="607" y="1007"/>
          <a:chExt cx="169" cy="19"/>
        </a:xfrm>
      </xdr:grpSpPr>
      <xdr:sp macro="" textlink="">
        <xdr:nvSpPr>
          <xdr:cNvPr id="1059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8">
        <xdr:nvSpPr>
          <xdr:cNvPr id="1102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CD1CEEC-8E9D-43CC-91FE-B207D2B0F9F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350</a:t>
            </a:fld>
            <a:endParaRPr lang="en-US"/>
          </a:p>
        </xdr:txBody>
      </xdr:sp>
      <xdr:sp macro="" textlink="J18">
        <xdr:nvSpPr>
          <xdr:cNvPr id="1125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1602927-919F-4BA0-8E7C-343B2AB000F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2100</a:t>
            </a:fld>
            <a:endParaRPr lang="en-US"/>
          </a:p>
        </xdr:txBody>
      </xdr:sp>
      <xdr:sp macro="" textlink="K18">
        <xdr:nvSpPr>
          <xdr:cNvPr id="1126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D557BBE-3C07-4D7C-BD01-C80E66622E4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350</a:t>
            </a:fld>
            <a:endParaRPr lang="en-US"/>
          </a:p>
        </xdr:txBody>
      </xdr:sp>
    </xdr:grpSp>
    <xdr:clientData/>
  </xdr:twoCellAnchor>
  <xdr:twoCellAnchor>
    <xdr:from>
      <xdr:col>18</xdr:col>
      <xdr:colOff>47625</xdr:colOff>
      <xdr:row>24</xdr:row>
      <xdr:rowOff>19050</xdr:rowOff>
    </xdr:from>
    <xdr:to>
      <xdr:col>18</xdr:col>
      <xdr:colOff>1905000</xdr:colOff>
      <xdr:row>24</xdr:row>
      <xdr:rowOff>304800</xdr:rowOff>
    </xdr:to>
    <xdr:grpSp>
      <xdr:nvGrpSpPr>
        <xdr:cNvPr id="1164" name="Group 3092"/>
        <xdr:cNvGrpSpPr>
          <a:grpSpLocks/>
        </xdr:cNvGrpSpPr>
      </xdr:nvGrpSpPr>
      <xdr:grpSpPr bwMode="auto">
        <a:xfrm>
          <a:off x="6115050" y="7848600"/>
          <a:ext cx="1857375" cy="285750"/>
          <a:chOff x="606" y="2035"/>
          <a:chExt cx="195" cy="30"/>
        </a:xfrm>
      </xdr:grpSpPr>
      <xdr:sp macro="" textlink="I25">
        <xdr:nvSpPr>
          <xdr:cNvPr id="1165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91808E0-DB44-4572-9FB4-F1CD4E29384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25">
        <xdr:nvSpPr>
          <xdr:cNvPr id="1166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77EB025-11C0-4F8C-A448-495DAFA8F26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5">
        <xdr:nvSpPr>
          <xdr:cNvPr id="1167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9A0013E-B71B-4620-ABBB-1573176E979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">
        <xdr:nvSpPr>
          <xdr:cNvPr id="1171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25">
        <xdr:nvSpPr>
          <xdr:cNvPr id="1172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F22DC616-AF6E-4479-8739-BCDA13E0C6B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173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25</xdr:row>
      <xdr:rowOff>47625</xdr:rowOff>
    </xdr:from>
    <xdr:to>
      <xdr:col>18</xdr:col>
      <xdr:colOff>1933575</xdr:colOff>
      <xdr:row>25</xdr:row>
      <xdr:rowOff>285750</xdr:rowOff>
    </xdr:to>
    <xdr:grpSp>
      <xdr:nvGrpSpPr>
        <xdr:cNvPr id="1177" name="Group 3094"/>
        <xdr:cNvGrpSpPr>
          <a:grpSpLocks/>
        </xdr:cNvGrpSpPr>
      </xdr:nvGrpSpPr>
      <xdr:grpSpPr bwMode="auto">
        <a:xfrm>
          <a:off x="6124575" y="8210550"/>
          <a:ext cx="1876425" cy="238125"/>
          <a:chOff x="626" y="613"/>
          <a:chExt cx="197" cy="25"/>
        </a:xfrm>
      </xdr:grpSpPr>
      <xdr:sp macro="" textlink="I26">
        <xdr:nvSpPr>
          <xdr:cNvPr id="117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D6CEAFA-42E2-4CBF-BD52-9ECC3CE0491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26">
        <xdr:nvSpPr>
          <xdr:cNvPr id="1232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FF4C436-8FB0-423E-95E4-A90E391E386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6">
        <xdr:nvSpPr>
          <xdr:cNvPr id="1233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45A49F0-85F9-4033-BAE0-E382C3C686F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26">
        <xdr:nvSpPr>
          <xdr:cNvPr id="1234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53876CC-3BC7-4CC8-91F2-281C032CE43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6">
        <xdr:nvSpPr>
          <xdr:cNvPr id="1235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535F6D5-C532-4C8B-A2D7-670C2151716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236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237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26</xdr:row>
      <xdr:rowOff>19050</xdr:rowOff>
    </xdr:from>
    <xdr:to>
      <xdr:col>18</xdr:col>
      <xdr:colOff>1905000</xdr:colOff>
      <xdr:row>26</xdr:row>
      <xdr:rowOff>304800</xdr:rowOff>
    </xdr:to>
    <xdr:grpSp>
      <xdr:nvGrpSpPr>
        <xdr:cNvPr id="1238" name="Group 3092"/>
        <xdr:cNvGrpSpPr>
          <a:grpSpLocks/>
        </xdr:cNvGrpSpPr>
      </xdr:nvGrpSpPr>
      <xdr:grpSpPr bwMode="auto">
        <a:xfrm>
          <a:off x="6115050" y="8515350"/>
          <a:ext cx="1857375" cy="285750"/>
          <a:chOff x="606" y="2035"/>
          <a:chExt cx="195" cy="30"/>
        </a:xfrm>
      </xdr:grpSpPr>
      <xdr:sp macro="" textlink="I27">
        <xdr:nvSpPr>
          <xdr:cNvPr id="1239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9E52086-99E4-4833-9DF5-6F72DA5CD2E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1150</a:t>
            </a:fld>
            <a:endParaRPr lang="en-US"/>
          </a:p>
        </xdr:txBody>
      </xdr:sp>
      <xdr:sp macro="" textlink="J27">
        <xdr:nvSpPr>
          <xdr:cNvPr id="1240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2CA7B48-7AAD-4237-90CD-0722D81496A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K27">
        <xdr:nvSpPr>
          <xdr:cNvPr id="1241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428A399-C290-4B9F-ACE5-6AA12C3E5E7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1242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27">
        <xdr:nvSpPr>
          <xdr:cNvPr id="1243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8CBBE35-4576-4EF9-9570-F167111BD44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244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29</xdr:row>
      <xdr:rowOff>19050</xdr:rowOff>
    </xdr:from>
    <xdr:to>
      <xdr:col>18</xdr:col>
      <xdr:colOff>1905000</xdr:colOff>
      <xdr:row>29</xdr:row>
      <xdr:rowOff>304800</xdr:rowOff>
    </xdr:to>
    <xdr:grpSp>
      <xdr:nvGrpSpPr>
        <xdr:cNvPr id="1273" name="Group 3092"/>
        <xdr:cNvGrpSpPr>
          <a:grpSpLocks/>
        </xdr:cNvGrpSpPr>
      </xdr:nvGrpSpPr>
      <xdr:grpSpPr bwMode="auto">
        <a:xfrm>
          <a:off x="6115050" y="9515475"/>
          <a:ext cx="1857375" cy="285750"/>
          <a:chOff x="606" y="2035"/>
          <a:chExt cx="195" cy="30"/>
        </a:xfrm>
      </xdr:grpSpPr>
      <xdr:sp macro="" textlink="I30">
        <xdr:nvSpPr>
          <xdr:cNvPr id="1274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AE0BA6C-FEBD-4318-8F9B-21DFCEA3B3A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30">
        <xdr:nvSpPr>
          <xdr:cNvPr id="1275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9E0A601-4530-4F6A-AFBA-8DA1567667E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0">
        <xdr:nvSpPr>
          <xdr:cNvPr id="1276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1BD9B16-5D02-436C-A92B-89FB33034CA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">
        <xdr:nvSpPr>
          <xdr:cNvPr id="1288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30">
        <xdr:nvSpPr>
          <xdr:cNvPr id="1289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302A266-CD00-4B3B-A21C-97DE4B77E72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290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30</xdr:row>
      <xdr:rowOff>47625</xdr:rowOff>
    </xdr:from>
    <xdr:to>
      <xdr:col>18</xdr:col>
      <xdr:colOff>1933575</xdr:colOff>
      <xdr:row>30</xdr:row>
      <xdr:rowOff>285750</xdr:rowOff>
    </xdr:to>
    <xdr:grpSp>
      <xdr:nvGrpSpPr>
        <xdr:cNvPr id="1304" name="Group 3094"/>
        <xdr:cNvGrpSpPr>
          <a:grpSpLocks/>
        </xdr:cNvGrpSpPr>
      </xdr:nvGrpSpPr>
      <xdr:grpSpPr bwMode="auto">
        <a:xfrm>
          <a:off x="6124575" y="9877425"/>
          <a:ext cx="1876425" cy="238125"/>
          <a:chOff x="626" y="613"/>
          <a:chExt cx="197" cy="25"/>
        </a:xfrm>
      </xdr:grpSpPr>
      <xdr:sp macro="" textlink="I31">
        <xdr:nvSpPr>
          <xdr:cNvPr id="1372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885455C-5E97-4313-913F-AA784617797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31">
        <xdr:nvSpPr>
          <xdr:cNvPr id="1373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1421B2C-AC17-479A-B0CC-4DE198D7F28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1">
        <xdr:nvSpPr>
          <xdr:cNvPr id="1374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F871F9E-8674-44B4-B5F1-51D2A7C0703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31">
        <xdr:nvSpPr>
          <xdr:cNvPr id="1375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8487021-1840-43EF-B597-6C1A442837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1">
        <xdr:nvSpPr>
          <xdr:cNvPr id="1376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DD5611C-FFB2-4B45-BD59-49A330006FE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377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378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38</xdr:row>
      <xdr:rowOff>19050</xdr:rowOff>
    </xdr:from>
    <xdr:to>
      <xdr:col>18</xdr:col>
      <xdr:colOff>1905000</xdr:colOff>
      <xdr:row>38</xdr:row>
      <xdr:rowOff>304800</xdr:rowOff>
    </xdr:to>
    <xdr:grpSp>
      <xdr:nvGrpSpPr>
        <xdr:cNvPr id="1176" name="Group 3092"/>
        <xdr:cNvGrpSpPr>
          <a:grpSpLocks/>
        </xdr:cNvGrpSpPr>
      </xdr:nvGrpSpPr>
      <xdr:grpSpPr bwMode="auto">
        <a:xfrm>
          <a:off x="6115050" y="12515850"/>
          <a:ext cx="1857375" cy="285750"/>
          <a:chOff x="606" y="2035"/>
          <a:chExt cx="195" cy="30"/>
        </a:xfrm>
      </xdr:grpSpPr>
      <xdr:sp macro="" textlink="I39">
        <xdr:nvSpPr>
          <xdr:cNvPr id="1179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A5CC9C6-969C-4B65-A16E-E1C17C2435E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39">
        <xdr:nvSpPr>
          <xdr:cNvPr id="1180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E79BE72-EFFA-4CC4-9B80-3CDC402A9AA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9">
        <xdr:nvSpPr>
          <xdr:cNvPr id="1181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DE35B79-9EB0-4AEC-85B4-304FB45E2C8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">
        <xdr:nvSpPr>
          <xdr:cNvPr id="1182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39">
        <xdr:nvSpPr>
          <xdr:cNvPr id="1229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C84309C-8AC9-4356-B1AE-9FF4339CBA7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230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50</xdr:row>
      <xdr:rowOff>47625</xdr:rowOff>
    </xdr:from>
    <xdr:to>
      <xdr:col>18</xdr:col>
      <xdr:colOff>1933575</xdr:colOff>
      <xdr:row>50</xdr:row>
      <xdr:rowOff>285750</xdr:rowOff>
    </xdr:to>
    <xdr:grpSp>
      <xdr:nvGrpSpPr>
        <xdr:cNvPr id="1401" name="Group 3094"/>
        <xdr:cNvGrpSpPr>
          <a:grpSpLocks/>
        </xdr:cNvGrpSpPr>
      </xdr:nvGrpSpPr>
      <xdr:grpSpPr bwMode="auto">
        <a:xfrm>
          <a:off x="6124575" y="16544925"/>
          <a:ext cx="1876425" cy="238125"/>
          <a:chOff x="626" y="613"/>
          <a:chExt cx="197" cy="25"/>
        </a:xfrm>
      </xdr:grpSpPr>
      <xdr:sp macro="" textlink="I45">
        <xdr:nvSpPr>
          <xdr:cNvPr id="1402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6050533-30A0-4616-BBEF-9E6E2C492E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45">
        <xdr:nvSpPr>
          <xdr:cNvPr id="1403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4824B98-B873-4B3E-B2B7-DE3C72C4C9D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5">
        <xdr:nvSpPr>
          <xdr:cNvPr id="1404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E517995-F1D6-4A78-9341-76503DCA3E1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L45">
        <xdr:nvSpPr>
          <xdr:cNvPr id="1405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BAF07E4-F5CD-4BB3-95B1-E40501A42C0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5">
        <xdr:nvSpPr>
          <xdr:cNvPr id="1406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0483E65-E0D8-4B86-8F18-9FC603824C4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407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408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51</xdr:row>
      <xdr:rowOff>47625</xdr:rowOff>
    </xdr:from>
    <xdr:to>
      <xdr:col>18</xdr:col>
      <xdr:colOff>1933575</xdr:colOff>
      <xdr:row>51</xdr:row>
      <xdr:rowOff>285750</xdr:rowOff>
    </xdr:to>
    <xdr:grpSp>
      <xdr:nvGrpSpPr>
        <xdr:cNvPr id="1409" name="Group 3094"/>
        <xdr:cNvGrpSpPr>
          <a:grpSpLocks/>
        </xdr:cNvGrpSpPr>
      </xdr:nvGrpSpPr>
      <xdr:grpSpPr bwMode="auto">
        <a:xfrm>
          <a:off x="6124575" y="16878300"/>
          <a:ext cx="1876425" cy="238125"/>
          <a:chOff x="626" y="613"/>
          <a:chExt cx="197" cy="25"/>
        </a:xfrm>
      </xdr:grpSpPr>
      <xdr:sp macro="" textlink="I46">
        <xdr:nvSpPr>
          <xdr:cNvPr id="1410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4591CE9-B613-41C5-A4EA-4932C0BE87A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46">
        <xdr:nvSpPr>
          <xdr:cNvPr id="1411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AA0DBB8-2569-4CB5-B155-017A5E2BBD2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6">
        <xdr:nvSpPr>
          <xdr:cNvPr id="1412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C0AC66C-F26A-456B-8853-DD69CA369EA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46">
        <xdr:nvSpPr>
          <xdr:cNvPr id="1413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B9DD6A6-F6C7-4B30-A3E9-EB1A66A994C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6">
        <xdr:nvSpPr>
          <xdr:cNvPr id="1414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2D7092A-8DF2-4C4B-8B3A-E04F29589A8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415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42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57</xdr:row>
      <xdr:rowOff>47625</xdr:rowOff>
    </xdr:from>
    <xdr:to>
      <xdr:col>18</xdr:col>
      <xdr:colOff>1933575</xdr:colOff>
      <xdr:row>57</xdr:row>
      <xdr:rowOff>285750</xdr:rowOff>
    </xdr:to>
    <xdr:grpSp>
      <xdr:nvGrpSpPr>
        <xdr:cNvPr id="1583" name="Group 3094"/>
        <xdr:cNvGrpSpPr>
          <a:grpSpLocks/>
        </xdr:cNvGrpSpPr>
      </xdr:nvGrpSpPr>
      <xdr:grpSpPr bwMode="auto">
        <a:xfrm>
          <a:off x="6124575" y="18878550"/>
          <a:ext cx="1876425" cy="238125"/>
          <a:chOff x="626" y="613"/>
          <a:chExt cx="197" cy="25"/>
        </a:xfrm>
      </xdr:grpSpPr>
      <xdr:sp macro="" textlink="I45">
        <xdr:nvSpPr>
          <xdr:cNvPr id="1584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6050533-30A0-4616-BBEF-9E6E2C492E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45">
        <xdr:nvSpPr>
          <xdr:cNvPr id="1585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4824B98-B873-4B3E-B2B7-DE3C72C4C9D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5">
        <xdr:nvSpPr>
          <xdr:cNvPr id="1609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E517995-F1D6-4A78-9341-76503DCA3E1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L45">
        <xdr:nvSpPr>
          <xdr:cNvPr id="1610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BAF07E4-F5CD-4BB3-95B1-E40501A42C0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5">
        <xdr:nvSpPr>
          <xdr:cNvPr id="1611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0483E65-E0D8-4B86-8F18-9FC603824C4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612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613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58</xdr:row>
      <xdr:rowOff>47625</xdr:rowOff>
    </xdr:from>
    <xdr:to>
      <xdr:col>18</xdr:col>
      <xdr:colOff>1933575</xdr:colOff>
      <xdr:row>58</xdr:row>
      <xdr:rowOff>285750</xdr:rowOff>
    </xdr:to>
    <xdr:grpSp>
      <xdr:nvGrpSpPr>
        <xdr:cNvPr id="1614" name="Group 3094"/>
        <xdr:cNvGrpSpPr>
          <a:grpSpLocks/>
        </xdr:cNvGrpSpPr>
      </xdr:nvGrpSpPr>
      <xdr:grpSpPr bwMode="auto">
        <a:xfrm>
          <a:off x="6124575" y="19211925"/>
          <a:ext cx="1876425" cy="238125"/>
          <a:chOff x="626" y="613"/>
          <a:chExt cx="197" cy="25"/>
        </a:xfrm>
      </xdr:grpSpPr>
      <xdr:sp macro="" textlink="I46">
        <xdr:nvSpPr>
          <xdr:cNvPr id="1615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4591CE9-B613-41C5-A4EA-4932C0BE87A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46">
        <xdr:nvSpPr>
          <xdr:cNvPr id="1616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AA0DBB8-2569-4CB5-B155-017A5E2BBD2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6">
        <xdr:nvSpPr>
          <xdr:cNvPr id="1617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C0AC66C-F26A-456B-8853-DD69CA369EA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46">
        <xdr:nvSpPr>
          <xdr:cNvPr id="1626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B9DD6A6-F6C7-4B30-A3E9-EB1A66A994C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6">
        <xdr:nvSpPr>
          <xdr:cNvPr id="1627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2D7092A-8DF2-4C4B-8B3A-E04F29589A8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628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629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61</xdr:row>
      <xdr:rowOff>47625</xdr:rowOff>
    </xdr:from>
    <xdr:to>
      <xdr:col>18</xdr:col>
      <xdr:colOff>1933575</xdr:colOff>
      <xdr:row>61</xdr:row>
      <xdr:rowOff>285750</xdr:rowOff>
    </xdr:to>
    <xdr:grpSp>
      <xdr:nvGrpSpPr>
        <xdr:cNvPr id="1719" name="Group 3094"/>
        <xdr:cNvGrpSpPr>
          <a:grpSpLocks/>
        </xdr:cNvGrpSpPr>
      </xdr:nvGrpSpPr>
      <xdr:grpSpPr bwMode="auto">
        <a:xfrm>
          <a:off x="6124575" y="20212050"/>
          <a:ext cx="1876425" cy="238125"/>
          <a:chOff x="626" y="613"/>
          <a:chExt cx="197" cy="25"/>
        </a:xfrm>
      </xdr:grpSpPr>
      <xdr:sp macro="" textlink="I45">
        <xdr:nvSpPr>
          <xdr:cNvPr id="1720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6050533-30A0-4616-BBEF-9E6E2C492E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45">
        <xdr:nvSpPr>
          <xdr:cNvPr id="1721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4824B98-B873-4B3E-B2B7-DE3C72C4C9D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5">
        <xdr:nvSpPr>
          <xdr:cNvPr id="1722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E517995-F1D6-4A78-9341-76503DCA3E1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L45">
        <xdr:nvSpPr>
          <xdr:cNvPr id="1723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BAF07E4-F5CD-4BB3-95B1-E40501A42C0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5">
        <xdr:nvSpPr>
          <xdr:cNvPr id="1724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0483E65-E0D8-4B86-8F18-9FC603824C4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725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726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62</xdr:row>
      <xdr:rowOff>47625</xdr:rowOff>
    </xdr:from>
    <xdr:to>
      <xdr:col>18</xdr:col>
      <xdr:colOff>1933575</xdr:colOff>
      <xdr:row>62</xdr:row>
      <xdr:rowOff>285750</xdr:rowOff>
    </xdr:to>
    <xdr:grpSp>
      <xdr:nvGrpSpPr>
        <xdr:cNvPr id="1727" name="Group 3094"/>
        <xdr:cNvGrpSpPr>
          <a:grpSpLocks/>
        </xdr:cNvGrpSpPr>
      </xdr:nvGrpSpPr>
      <xdr:grpSpPr bwMode="auto">
        <a:xfrm>
          <a:off x="6124575" y="20545425"/>
          <a:ext cx="1876425" cy="238125"/>
          <a:chOff x="626" y="613"/>
          <a:chExt cx="197" cy="25"/>
        </a:xfrm>
      </xdr:grpSpPr>
      <xdr:sp macro="" textlink="I46">
        <xdr:nvSpPr>
          <xdr:cNvPr id="172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4591CE9-B613-41C5-A4EA-4932C0BE87A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46">
        <xdr:nvSpPr>
          <xdr:cNvPr id="1729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AA0DBB8-2569-4CB5-B155-017A5E2BBD2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6">
        <xdr:nvSpPr>
          <xdr:cNvPr id="1730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C0AC66C-F26A-456B-8853-DD69CA369EA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46">
        <xdr:nvSpPr>
          <xdr:cNvPr id="1731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B9DD6A6-F6C7-4B30-A3E9-EB1A66A994C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6">
        <xdr:nvSpPr>
          <xdr:cNvPr id="173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2D7092A-8DF2-4C4B-8B3A-E04F29589A8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73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73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66</xdr:row>
      <xdr:rowOff>47625</xdr:rowOff>
    </xdr:from>
    <xdr:to>
      <xdr:col>18</xdr:col>
      <xdr:colOff>1933575</xdr:colOff>
      <xdr:row>66</xdr:row>
      <xdr:rowOff>285750</xdr:rowOff>
    </xdr:to>
    <xdr:grpSp>
      <xdr:nvGrpSpPr>
        <xdr:cNvPr id="1804" name="Group 3094"/>
        <xdr:cNvGrpSpPr>
          <a:grpSpLocks/>
        </xdr:cNvGrpSpPr>
      </xdr:nvGrpSpPr>
      <xdr:grpSpPr bwMode="auto">
        <a:xfrm>
          <a:off x="6124575" y="21878925"/>
          <a:ext cx="1876425" cy="238125"/>
          <a:chOff x="626" y="613"/>
          <a:chExt cx="197" cy="25"/>
        </a:xfrm>
      </xdr:grpSpPr>
      <xdr:sp macro="" textlink="I45">
        <xdr:nvSpPr>
          <xdr:cNvPr id="183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6050533-30A0-4616-BBEF-9E6E2C492E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45">
        <xdr:nvSpPr>
          <xdr:cNvPr id="1839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4824B98-B873-4B3E-B2B7-DE3C72C4C9D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5">
        <xdr:nvSpPr>
          <xdr:cNvPr id="1840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E517995-F1D6-4A78-9341-76503DCA3E1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L45">
        <xdr:nvSpPr>
          <xdr:cNvPr id="1841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BAF07E4-F5CD-4BB3-95B1-E40501A42C0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5">
        <xdr:nvSpPr>
          <xdr:cNvPr id="184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0483E65-E0D8-4B86-8F18-9FC603824C4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84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84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35</xdr:row>
      <xdr:rowOff>28575</xdr:rowOff>
    </xdr:from>
    <xdr:to>
      <xdr:col>18</xdr:col>
      <xdr:colOff>1724025</xdr:colOff>
      <xdr:row>35</xdr:row>
      <xdr:rowOff>295275</xdr:rowOff>
    </xdr:to>
    <xdr:grpSp>
      <xdr:nvGrpSpPr>
        <xdr:cNvPr id="1878" name="Group 3050"/>
        <xdr:cNvGrpSpPr>
          <a:grpSpLocks/>
        </xdr:cNvGrpSpPr>
      </xdr:nvGrpSpPr>
      <xdr:grpSpPr bwMode="auto">
        <a:xfrm>
          <a:off x="6124575" y="11525250"/>
          <a:ext cx="1666875" cy="266700"/>
          <a:chOff x="589" y="376"/>
          <a:chExt cx="175" cy="28"/>
        </a:xfrm>
      </xdr:grpSpPr>
      <xdr:sp macro="" textlink="I36">
        <xdr:nvSpPr>
          <xdr:cNvPr id="1879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C264B40-8AD9-417B-B734-AC66A60417E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6">
        <xdr:nvSpPr>
          <xdr:cNvPr id="1880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CB2BD2C4-49F9-472B-B827-E0FC70F7C38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36">
        <xdr:nvSpPr>
          <xdr:cNvPr id="1881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866317D-8984-4ACB-9CE2-1C80FB66CB7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1882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883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36</xdr:row>
      <xdr:rowOff>28575</xdr:rowOff>
    </xdr:from>
    <xdr:to>
      <xdr:col>18</xdr:col>
      <xdr:colOff>1724025</xdr:colOff>
      <xdr:row>36</xdr:row>
      <xdr:rowOff>295275</xdr:rowOff>
    </xdr:to>
    <xdr:grpSp>
      <xdr:nvGrpSpPr>
        <xdr:cNvPr id="1884" name="Group 3050"/>
        <xdr:cNvGrpSpPr>
          <a:grpSpLocks/>
        </xdr:cNvGrpSpPr>
      </xdr:nvGrpSpPr>
      <xdr:grpSpPr bwMode="auto">
        <a:xfrm>
          <a:off x="6124575" y="11858625"/>
          <a:ext cx="1666875" cy="266700"/>
          <a:chOff x="589" y="376"/>
          <a:chExt cx="175" cy="28"/>
        </a:xfrm>
      </xdr:grpSpPr>
      <xdr:sp macro="" textlink="I37">
        <xdr:nvSpPr>
          <xdr:cNvPr id="1885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5E39477-9BE2-4349-824D-9A41D547674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7">
        <xdr:nvSpPr>
          <xdr:cNvPr id="1886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70ABCF0-F931-49FA-8BB0-445FDD5338F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37">
        <xdr:nvSpPr>
          <xdr:cNvPr id="1887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E53E786-EA59-4672-9F03-04E02F91D6B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1888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889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31</xdr:row>
      <xdr:rowOff>28575</xdr:rowOff>
    </xdr:from>
    <xdr:to>
      <xdr:col>18</xdr:col>
      <xdr:colOff>1724025</xdr:colOff>
      <xdr:row>31</xdr:row>
      <xdr:rowOff>295275</xdr:rowOff>
    </xdr:to>
    <xdr:grpSp>
      <xdr:nvGrpSpPr>
        <xdr:cNvPr id="1890" name="Group 3050"/>
        <xdr:cNvGrpSpPr>
          <a:grpSpLocks/>
        </xdr:cNvGrpSpPr>
      </xdr:nvGrpSpPr>
      <xdr:grpSpPr bwMode="auto">
        <a:xfrm>
          <a:off x="6124575" y="10191750"/>
          <a:ext cx="1666875" cy="266700"/>
          <a:chOff x="589" y="376"/>
          <a:chExt cx="175" cy="28"/>
        </a:xfrm>
      </xdr:grpSpPr>
      <xdr:sp macro="" textlink="I32">
        <xdr:nvSpPr>
          <xdr:cNvPr id="1891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2E447DF-4BE5-40C6-8A8D-B1754C219F2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2">
        <xdr:nvSpPr>
          <xdr:cNvPr id="1892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7350D89-4ABB-485E-9E11-0F625E20D09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32">
        <xdr:nvSpPr>
          <xdr:cNvPr id="1893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56D8858-2D05-45AA-841C-AF7FD3364E0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1894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895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32</xdr:row>
      <xdr:rowOff>19050</xdr:rowOff>
    </xdr:from>
    <xdr:to>
      <xdr:col>18</xdr:col>
      <xdr:colOff>1905000</xdr:colOff>
      <xdr:row>32</xdr:row>
      <xdr:rowOff>304800</xdr:rowOff>
    </xdr:to>
    <xdr:grpSp>
      <xdr:nvGrpSpPr>
        <xdr:cNvPr id="1896" name="Group 3092"/>
        <xdr:cNvGrpSpPr>
          <a:grpSpLocks/>
        </xdr:cNvGrpSpPr>
      </xdr:nvGrpSpPr>
      <xdr:grpSpPr bwMode="auto">
        <a:xfrm>
          <a:off x="6115050" y="10515600"/>
          <a:ext cx="1857375" cy="285750"/>
          <a:chOff x="606" y="2035"/>
          <a:chExt cx="195" cy="30"/>
        </a:xfrm>
      </xdr:grpSpPr>
      <xdr:sp macro="" textlink="I33">
        <xdr:nvSpPr>
          <xdr:cNvPr id="1897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5A445C2-B105-4F31-AE10-13297080C58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1000</a:t>
            </a:fld>
            <a:endParaRPr lang="en-US"/>
          </a:p>
        </xdr:txBody>
      </xdr:sp>
      <xdr:sp macro="" textlink="J33">
        <xdr:nvSpPr>
          <xdr:cNvPr id="1898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A677FB7-9E65-48A5-97B7-E2A0B241DBA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K33">
        <xdr:nvSpPr>
          <xdr:cNvPr id="1899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A638ECA-9464-4297-B432-26EF9F0ED98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1900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33">
        <xdr:nvSpPr>
          <xdr:cNvPr id="1901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18AD762-9ABC-4822-9BC1-8C8AB1968BA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902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33</xdr:row>
      <xdr:rowOff>19050</xdr:rowOff>
    </xdr:from>
    <xdr:to>
      <xdr:col>18</xdr:col>
      <xdr:colOff>1905000</xdr:colOff>
      <xdr:row>33</xdr:row>
      <xdr:rowOff>304800</xdr:rowOff>
    </xdr:to>
    <xdr:grpSp>
      <xdr:nvGrpSpPr>
        <xdr:cNvPr id="1903" name="Group 3092"/>
        <xdr:cNvGrpSpPr>
          <a:grpSpLocks/>
        </xdr:cNvGrpSpPr>
      </xdr:nvGrpSpPr>
      <xdr:grpSpPr bwMode="auto">
        <a:xfrm>
          <a:off x="6115050" y="10848975"/>
          <a:ext cx="1857375" cy="285750"/>
          <a:chOff x="606" y="2035"/>
          <a:chExt cx="195" cy="30"/>
        </a:xfrm>
      </xdr:grpSpPr>
      <xdr:sp macro="" textlink="I34">
        <xdr:nvSpPr>
          <xdr:cNvPr id="1904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4841A66-D641-4F9E-ABD0-8AAD38759BA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34">
        <xdr:nvSpPr>
          <xdr:cNvPr id="1905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9C97244-BF25-46AA-BB1A-9154C7C205A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4">
        <xdr:nvSpPr>
          <xdr:cNvPr id="1906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F29E2A3-99EF-412F-BA60-04B687CF3EF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">
        <xdr:nvSpPr>
          <xdr:cNvPr id="1907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34">
        <xdr:nvSpPr>
          <xdr:cNvPr id="1908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275F6BE-D94D-49A6-AD99-2556DB36EE0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909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34</xdr:row>
      <xdr:rowOff>47625</xdr:rowOff>
    </xdr:from>
    <xdr:to>
      <xdr:col>18</xdr:col>
      <xdr:colOff>1933575</xdr:colOff>
      <xdr:row>34</xdr:row>
      <xdr:rowOff>285750</xdr:rowOff>
    </xdr:to>
    <xdr:grpSp>
      <xdr:nvGrpSpPr>
        <xdr:cNvPr id="1910" name="Group 3094"/>
        <xdr:cNvGrpSpPr>
          <a:grpSpLocks/>
        </xdr:cNvGrpSpPr>
      </xdr:nvGrpSpPr>
      <xdr:grpSpPr bwMode="auto">
        <a:xfrm>
          <a:off x="6124575" y="11210925"/>
          <a:ext cx="1876425" cy="238125"/>
          <a:chOff x="626" y="613"/>
          <a:chExt cx="197" cy="25"/>
        </a:xfrm>
      </xdr:grpSpPr>
      <xdr:sp macro="" textlink="I35">
        <xdr:nvSpPr>
          <xdr:cNvPr id="1911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9EC2ED0-DCCF-4548-8C5D-FD4C31C10E7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35">
        <xdr:nvSpPr>
          <xdr:cNvPr id="1912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CAD7085-4310-412C-B612-EB8E566F2B4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5">
        <xdr:nvSpPr>
          <xdr:cNvPr id="1913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6DBFA0C-84A5-4DF2-B83F-D98B803E6AC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35">
        <xdr:nvSpPr>
          <xdr:cNvPr id="1914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6AD77C4-0397-4777-BD5E-39462402E01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5">
        <xdr:nvSpPr>
          <xdr:cNvPr id="1915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C8EC1D4-C2FD-481A-BAFB-1B9346E7D91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916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917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37</xdr:row>
      <xdr:rowOff>19050</xdr:rowOff>
    </xdr:from>
    <xdr:to>
      <xdr:col>18</xdr:col>
      <xdr:colOff>1905000</xdr:colOff>
      <xdr:row>37</xdr:row>
      <xdr:rowOff>304800</xdr:rowOff>
    </xdr:to>
    <xdr:grpSp>
      <xdr:nvGrpSpPr>
        <xdr:cNvPr id="1918" name="Group 3092"/>
        <xdr:cNvGrpSpPr>
          <a:grpSpLocks/>
        </xdr:cNvGrpSpPr>
      </xdr:nvGrpSpPr>
      <xdr:grpSpPr bwMode="auto">
        <a:xfrm>
          <a:off x="6115050" y="12182475"/>
          <a:ext cx="1857375" cy="285750"/>
          <a:chOff x="606" y="2035"/>
          <a:chExt cx="195" cy="30"/>
        </a:xfrm>
      </xdr:grpSpPr>
      <xdr:sp macro="" textlink="I38">
        <xdr:nvSpPr>
          <xdr:cNvPr id="1919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92C83F8-A3C8-47E6-AE1D-E82FF8D5D72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1000</a:t>
            </a:fld>
            <a:endParaRPr lang="en-US"/>
          </a:p>
        </xdr:txBody>
      </xdr:sp>
      <xdr:sp macro="" textlink="J38">
        <xdr:nvSpPr>
          <xdr:cNvPr id="1920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7F7AF6B-5116-4F24-A41C-8762E8639FD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8">
        <xdr:nvSpPr>
          <xdr:cNvPr id="1921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53265BF-A7DC-42A1-A16D-6D24AA251B5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1922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38">
        <xdr:nvSpPr>
          <xdr:cNvPr id="1923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BB5A0E8-B449-4305-BE75-3541949D569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924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43</xdr:row>
      <xdr:rowOff>19050</xdr:rowOff>
    </xdr:from>
    <xdr:to>
      <xdr:col>18</xdr:col>
      <xdr:colOff>1905000</xdr:colOff>
      <xdr:row>43</xdr:row>
      <xdr:rowOff>304800</xdr:rowOff>
    </xdr:to>
    <xdr:grpSp>
      <xdr:nvGrpSpPr>
        <xdr:cNvPr id="1925" name="Group 3092"/>
        <xdr:cNvGrpSpPr>
          <a:grpSpLocks/>
        </xdr:cNvGrpSpPr>
      </xdr:nvGrpSpPr>
      <xdr:grpSpPr bwMode="auto">
        <a:xfrm>
          <a:off x="6115050" y="14182725"/>
          <a:ext cx="1857375" cy="285750"/>
          <a:chOff x="606" y="2035"/>
          <a:chExt cx="195" cy="30"/>
        </a:xfrm>
      </xdr:grpSpPr>
      <xdr:sp macro="" textlink="I44">
        <xdr:nvSpPr>
          <xdr:cNvPr id="1926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57F6B90-33D7-4170-8E6E-26A69CCC62C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1000</a:t>
            </a:fld>
            <a:endParaRPr lang="en-US"/>
          </a:p>
        </xdr:txBody>
      </xdr:sp>
      <xdr:sp macro="" textlink="J44">
        <xdr:nvSpPr>
          <xdr:cNvPr id="1927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218A486-9635-4025-A448-D79A8033248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4">
        <xdr:nvSpPr>
          <xdr:cNvPr id="1928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E0495C3-26A2-42F6-9204-823E7BAEE5C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1929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44">
        <xdr:nvSpPr>
          <xdr:cNvPr id="1930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1EBA155-B401-4012-B01D-101AFEBFC98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931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39</xdr:row>
      <xdr:rowOff>47625</xdr:rowOff>
    </xdr:from>
    <xdr:to>
      <xdr:col>18</xdr:col>
      <xdr:colOff>1933575</xdr:colOff>
      <xdr:row>39</xdr:row>
      <xdr:rowOff>285750</xdr:rowOff>
    </xdr:to>
    <xdr:grpSp>
      <xdr:nvGrpSpPr>
        <xdr:cNvPr id="1938" name="Group 3094"/>
        <xdr:cNvGrpSpPr>
          <a:grpSpLocks/>
        </xdr:cNvGrpSpPr>
      </xdr:nvGrpSpPr>
      <xdr:grpSpPr bwMode="auto">
        <a:xfrm>
          <a:off x="6124575" y="12877800"/>
          <a:ext cx="1876425" cy="238125"/>
          <a:chOff x="626" y="613"/>
          <a:chExt cx="197" cy="25"/>
        </a:xfrm>
      </xdr:grpSpPr>
      <xdr:sp macro="" textlink="I40">
        <xdr:nvSpPr>
          <xdr:cNvPr id="1939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09FDECF-FE2B-41DB-AFD3-493FE8FC2BD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40">
        <xdr:nvSpPr>
          <xdr:cNvPr id="1940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C41B181-8FC3-4EC8-85F5-58F8254A052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0">
        <xdr:nvSpPr>
          <xdr:cNvPr id="1941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3D9AE49-9E5C-4133-9C0C-C34B28CD4C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40">
        <xdr:nvSpPr>
          <xdr:cNvPr id="1942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A69B5D1-9EF1-486B-9513-E351AD37879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0">
        <xdr:nvSpPr>
          <xdr:cNvPr id="1943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7365E17-3FC0-4BF7-BAF3-E5DAE40EC11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944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945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44</xdr:row>
      <xdr:rowOff>47625</xdr:rowOff>
    </xdr:from>
    <xdr:to>
      <xdr:col>18</xdr:col>
      <xdr:colOff>1933575</xdr:colOff>
      <xdr:row>44</xdr:row>
      <xdr:rowOff>285750</xdr:rowOff>
    </xdr:to>
    <xdr:grpSp>
      <xdr:nvGrpSpPr>
        <xdr:cNvPr id="1946" name="Group 3094"/>
        <xdr:cNvGrpSpPr>
          <a:grpSpLocks/>
        </xdr:cNvGrpSpPr>
      </xdr:nvGrpSpPr>
      <xdr:grpSpPr bwMode="auto">
        <a:xfrm>
          <a:off x="6124575" y="14544675"/>
          <a:ext cx="1876425" cy="238125"/>
          <a:chOff x="626" y="613"/>
          <a:chExt cx="197" cy="25"/>
        </a:xfrm>
      </xdr:grpSpPr>
      <xdr:sp macro="" textlink="I45">
        <xdr:nvSpPr>
          <xdr:cNvPr id="1947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DE10590-3575-41DA-A646-9477A5B092B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45">
        <xdr:nvSpPr>
          <xdr:cNvPr id="1948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AA679B7-FD6E-4252-9222-41A975ACBB3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5">
        <xdr:nvSpPr>
          <xdr:cNvPr id="1949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EED7DF0-F92E-4F0F-AA78-73FD6B147E3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L45">
        <xdr:nvSpPr>
          <xdr:cNvPr id="1950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555342B-F346-42AA-82CE-3219E8649E7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5">
        <xdr:nvSpPr>
          <xdr:cNvPr id="1951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2A88017-67C9-4449-91A3-881704051FD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952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953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45</xdr:row>
      <xdr:rowOff>47625</xdr:rowOff>
    </xdr:from>
    <xdr:to>
      <xdr:col>18</xdr:col>
      <xdr:colOff>1933575</xdr:colOff>
      <xdr:row>45</xdr:row>
      <xdr:rowOff>285750</xdr:rowOff>
    </xdr:to>
    <xdr:grpSp>
      <xdr:nvGrpSpPr>
        <xdr:cNvPr id="1954" name="Group 3094"/>
        <xdr:cNvGrpSpPr>
          <a:grpSpLocks/>
        </xdr:cNvGrpSpPr>
      </xdr:nvGrpSpPr>
      <xdr:grpSpPr bwMode="auto">
        <a:xfrm>
          <a:off x="6124575" y="14878050"/>
          <a:ext cx="1876425" cy="238125"/>
          <a:chOff x="626" y="613"/>
          <a:chExt cx="197" cy="25"/>
        </a:xfrm>
      </xdr:grpSpPr>
      <xdr:sp macro="" textlink="I46">
        <xdr:nvSpPr>
          <xdr:cNvPr id="1955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10975A5-F790-46DE-B723-6155CD7E476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46">
        <xdr:nvSpPr>
          <xdr:cNvPr id="1956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46E47BA-87FF-4E44-9B82-99D987948A1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6">
        <xdr:nvSpPr>
          <xdr:cNvPr id="1957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F0287CC-CB64-4F8B-AB60-B6468EB4D18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46">
        <xdr:nvSpPr>
          <xdr:cNvPr id="1958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8D85858-A1ED-45A9-A194-9935F21F557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6">
        <xdr:nvSpPr>
          <xdr:cNvPr id="1959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63C891D-190C-404C-B9E9-588DBFBD0E7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960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961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49</xdr:row>
      <xdr:rowOff>19050</xdr:rowOff>
    </xdr:from>
    <xdr:to>
      <xdr:col>18</xdr:col>
      <xdr:colOff>1905000</xdr:colOff>
      <xdr:row>49</xdr:row>
      <xdr:rowOff>304800</xdr:rowOff>
    </xdr:to>
    <xdr:grpSp>
      <xdr:nvGrpSpPr>
        <xdr:cNvPr id="1968" name="Group 3092"/>
        <xdr:cNvGrpSpPr>
          <a:grpSpLocks/>
        </xdr:cNvGrpSpPr>
      </xdr:nvGrpSpPr>
      <xdr:grpSpPr bwMode="auto">
        <a:xfrm>
          <a:off x="6115050" y="16182975"/>
          <a:ext cx="1857375" cy="285750"/>
          <a:chOff x="606" y="2035"/>
          <a:chExt cx="195" cy="30"/>
        </a:xfrm>
      </xdr:grpSpPr>
      <xdr:sp macro="" textlink="I50">
        <xdr:nvSpPr>
          <xdr:cNvPr id="1969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3DC9A10-01D0-4217-8FCC-59A7E6A9314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1000</a:t>
            </a:fld>
            <a:endParaRPr lang="en-US"/>
          </a:p>
        </xdr:txBody>
      </xdr:sp>
      <xdr:sp macro="" textlink="J50">
        <xdr:nvSpPr>
          <xdr:cNvPr id="1970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4DBEEB3-97EE-477D-9F2D-B4172F5EED0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50">
        <xdr:nvSpPr>
          <xdr:cNvPr id="1971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209D61B-755E-4331-A9CF-5CDE9D13D12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1972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50">
        <xdr:nvSpPr>
          <xdr:cNvPr id="1973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EB3C095-A314-4C1B-859B-3C819325DDD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974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56</xdr:row>
      <xdr:rowOff>19050</xdr:rowOff>
    </xdr:from>
    <xdr:to>
      <xdr:col>18</xdr:col>
      <xdr:colOff>1905000</xdr:colOff>
      <xdr:row>56</xdr:row>
      <xdr:rowOff>304800</xdr:rowOff>
    </xdr:to>
    <xdr:grpSp>
      <xdr:nvGrpSpPr>
        <xdr:cNvPr id="1975" name="Group 3092"/>
        <xdr:cNvGrpSpPr>
          <a:grpSpLocks/>
        </xdr:cNvGrpSpPr>
      </xdr:nvGrpSpPr>
      <xdr:grpSpPr bwMode="auto">
        <a:xfrm>
          <a:off x="6115050" y="18516600"/>
          <a:ext cx="1857375" cy="285750"/>
          <a:chOff x="606" y="2035"/>
          <a:chExt cx="195" cy="30"/>
        </a:xfrm>
      </xdr:grpSpPr>
      <xdr:sp macro="" textlink="I57">
        <xdr:nvSpPr>
          <xdr:cNvPr id="1976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1EF5031-CAD9-4A6B-B865-A3746C4CFF6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1000</a:t>
            </a:fld>
            <a:endParaRPr lang="en-US"/>
          </a:p>
        </xdr:txBody>
      </xdr:sp>
      <xdr:sp macro="" textlink="J57">
        <xdr:nvSpPr>
          <xdr:cNvPr id="1977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138E9D2-6F02-4018-908C-EA21BAF9EA3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57">
        <xdr:nvSpPr>
          <xdr:cNvPr id="1978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8D2EFBA-1B01-486B-86FF-DB616ADEE6A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1979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57">
        <xdr:nvSpPr>
          <xdr:cNvPr id="1980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99446C1-353C-4151-BB4B-5F52B38FEC6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981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60</xdr:row>
      <xdr:rowOff>19050</xdr:rowOff>
    </xdr:from>
    <xdr:to>
      <xdr:col>18</xdr:col>
      <xdr:colOff>1905000</xdr:colOff>
      <xdr:row>60</xdr:row>
      <xdr:rowOff>304800</xdr:rowOff>
    </xdr:to>
    <xdr:grpSp>
      <xdr:nvGrpSpPr>
        <xdr:cNvPr id="1982" name="Group 3092"/>
        <xdr:cNvGrpSpPr>
          <a:grpSpLocks/>
        </xdr:cNvGrpSpPr>
      </xdr:nvGrpSpPr>
      <xdr:grpSpPr bwMode="auto">
        <a:xfrm>
          <a:off x="6115050" y="19850100"/>
          <a:ext cx="1857375" cy="285750"/>
          <a:chOff x="606" y="2035"/>
          <a:chExt cx="195" cy="30"/>
        </a:xfrm>
      </xdr:grpSpPr>
      <xdr:sp macro="" textlink="I61">
        <xdr:nvSpPr>
          <xdr:cNvPr id="1983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A79782B-C879-4FEF-BC49-D1CE65B34CE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1000</a:t>
            </a:fld>
            <a:endParaRPr lang="en-US"/>
          </a:p>
        </xdr:txBody>
      </xdr:sp>
      <xdr:sp macro="" textlink="J61">
        <xdr:nvSpPr>
          <xdr:cNvPr id="1984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CCBBCFD-2E59-4293-A479-2D188986905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61">
        <xdr:nvSpPr>
          <xdr:cNvPr id="1985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6F34C57-967F-49BB-BCEF-6F7B3136A7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1986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61">
        <xdr:nvSpPr>
          <xdr:cNvPr id="1987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6F22674-C5AF-443E-92CC-3647B868706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1988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59</xdr:row>
      <xdr:rowOff>28575</xdr:rowOff>
    </xdr:from>
    <xdr:to>
      <xdr:col>18</xdr:col>
      <xdr:colOff>1724025</xdr:colOff>
      <xdr:row>59</xdr:row>
      <xdr:rowOff>295275</xdr:rowOff>
    </xdr:to>
    <xdr:grpSp>
      <xdr:nvGrpSpPr>
        <xdr:cNvPr id="1989" name="Group 3050"/>
        <xdr:cNvGrpSpPr>
          <a:grpSpLocks/>
        </xdr:cNvGrpSpPr>
      </xdr:nvGrpSpPr>
      <xdr:grpSpPr bwMode="auto">
        <a:xfrm>
          <a:off x="6124575" y="19526250"/>
          <a:ext cx="1666875" cy="266700"/>
          <a:chOff x="589" y="376"/>
          <a:chExt cx="175" cy="28"/>
        </a:xfrm>
      </xdr:grpSpPr>
      <xdr:sp macro="" textlink="I60">
        <xdr:nvSpPr>
          <xdr:cNvPr id="1990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082F709-C6E2-4AC3-8743-C4E10D95840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60">
        <xdr:nvSpPr>
          <xdr:cNvPr id="1991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D8327C2-F46D-4D06-8AC9-0705A5AA0B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60">
        <xdr:nvSpPr>
          <xdr:cNvPr id="1992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B6A5343-379F-4367-BFA7-ECAF71F1B41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1993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994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65</xdr:row>
      <xdr:rowOff>19050</xdr:rowOff>
    </xdr:from>
    <xdr:to>
      <xdr:col>18</xdr:col>
      <xdr:colOff>1905000</xdr:colOff>
      <xdr:row>65</xdr:row>
      <xdr:rowOff>304800</xdr:rowOff>
    </xdr:to>
    <xdr:grpSp>
      <xdr:nvGrpSpPr>
        <xdr:cNvPr id="2001" name="Group 3092"/>
        <xdr:cNvGrpSpPr>
          <a:grpSpLocks/>
        </xdr:cNvGrpSpPr>
      </xdr:nvGrpSpPr>
      <xdr:grpSpPr bwMode="auto">
        <a:xfrm>
          <a:off x="6115050" y="21516975"/>
          <a:ext cx="1857375" cy="285750"/>
          <a:chOff x="606" y="2035"/>
          <a:chExt cx="195" cy="30"/>
        </a:xfrm>
      </xdr:grpSpPr>
      <xdr:sp macro="" textlink="I66">
        <xdr:nvSpPr>
          <xdr:cNvPr id="2002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339932D-E947-4ABD-A7C8-01D16BA0BC4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1000</a:t>
            </a:fld>
            <a:endParaRPr lang="en-US"/>
          </a:p>
        </xdr:txBody>
      </xdr:sp>
      <xdr:sp macro="" textlink="J66">
        <xdr:nvSpPr>
          <xdr:cNvPr id="2003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7619679-2CAE-4D64-BCF4-FA331E9A8D2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66">
        <xdr:nvSpPr>
          <xdr:cNvPr id="2004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C5F8723-EC51-491B-8DDF-E3035B59DFB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2005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66">
        <xdr:nvSpPr>
          <xdr:cNvPr id="2006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A0FB630-117C-4F70-AAC1-05F0C019EFD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007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42</xdr:row>
      <xdr:rowOff>28575</xdr:rowOff>
    </xdr:from>
    <xdr:to>
      <xdr:col>18</xdr:col>
      <xdr:colOff>1724025</xdr:colOff>
      <xdr:row>42</xdr:row>
      <xdr:rowOff>295275</xdr:rowOff>
    </xdr:to>
    <xdr:grpSp>
      <xdr:nvGrpSpPr>
        <xdr:cNvPr id="2044" name="Group 3050"/>
        <xdr:cNvGrpSpPr>
          <a:grpSpLocks/>
        </xdr:cNvGrpSpPr>
      </xdr:nvGrpSpPr>
      <xdr:grpSpPr bwMode="auto">
        <a:xfrm>
          <a:off x="6124575" y="13858875"/>
          <a:ext cx="1666875" cy="266700"/>
          <a:chOff x="589" y="376"/>
          <a:chExt cx="175" cy="28"/>
        </a:xfrm>
      </xdr:grpSpPr>
      <xdr:sp macro="" textlink="I43">
        <xdr:nvSpPr>
          <xdr:cNvPr id="2045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91F18A2-3EDA-43B0-9A89-B6D943A22A5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43">
        <xdr:nvSpPr>
          <xdr:cNvPr id="2046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AE0742D-D839-4EA6-9299-BD03010B0BF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43">
        <xdr:nvSpPr>
          <xdr:cNvPr id="2047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8AE03EC-E4B8-46A3-9C32-649F327B096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048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049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41</xdr:row>
      <xdr:rowOff>28575</xdr:rowOff>
    </xdr:from>
    <xdr:to>
      <xdr:col>18</xdr:col>
      <xdr:colOff>1724025</xdr:colOff>
      <xdr:row>41</xdr:row>
      <xdr:rowOff>295275</xdr:rowOff>
    </xdr:to>
    <xdr:grpSp>
      <xdr:nvGrpSpPr>
        <xdr:cNvPr id="2050" name="Group 3050"/>
        <xdr:cNvGrpSpPr>
          <a:grpSpLocks/>
        </xdr:cNvGrpSpPr>
      </xdr:nvGrpSpPr>
      <xdr:grpSpPr bwMode="auto">
        <a:xfrm>
          <a:off x="6124575" y="13525500"/>
          <a:ext cx="1666875" cy="266700"/>
          <a:chOff x="589" y="376"/>
          <a:chExt cx="175" cy="28"/>
        </a:xfrm>
      </xdr:grpSpPr>
      <xdr:sp macro="" textlink="I42">
        <xdr:nvSpPr>
          <xdr:cNvPr id="2051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525009C-4590-46C2-BE11-D2D8F7D1555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42">
        <xdr:nvSpPr>
          <xdr:cNvPr id="2052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9BC972E-AC97-416F-A295-11F60B747C0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42">
        <xdr:nvSpPr>
          <xdr:cNvPr id="2053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19E6D1A-F310-4B77-9B10-3EB0BB7EF5F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054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055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40</xdr:row>
      <xdr:rowOff>28575</xdr:rowOff>
    </xdr:from>
    <xdr:to>
      <xdr:col>18</xdr:col>
      <xdr:colOff>1724025</xdr:colOff>
      <xdr:row>40</xdr:row>
      <xdr:rowOff>295275</xdr:rowOff>
    </xdr:to>
    <xdr:grpSp>
      <xdr:nvGrpSpPr>
        <xdr:cNvPr id="2056" name="Group 3050"/>
        <xdr:cNvGrpSpPr>
          <a:grpSpLocks/>
        </xdr:cNvGrpSpPr>
      </xdr:nvGrpSpPr>
      <xdr:grpSpPr bwMode="auto">
        <a:xfrm>
          <a:off x="6124575" y="13192125"/>
          <a:ext cx="1666875" cy="266700"/>
          <a:chOff x="589" y="376"/>
          <a:chExt cx="175" cy="28"/>
        </a:xfrm>
      </xdr:grpSpPr>
      <xdr:sp macro="" textlink="I41">
        <xdr:nvSpPr>
          <xdr:cNvPr id="2057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8D8C583-C1C5-41DE-BF6C-A96340863DF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41">
        <xdr:nvSpPr>
          <xdr:cNvPr id="2058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51AC506-50A1-4279-9809-9B712E2F9E7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41">
        <xdr:nvSpPr>
          <xdr:cNvPr id="2059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6C945C4-1DBE-4E03-86E2-105ABE0C92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060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061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46</xdr:row>
      <xdr:rowOff>28575</xdr:rowOff>
    </xdr:from>
    <xdr:to>
      <xdr:col>18</xdr:col>
      <xdr:colOff>1724025</xdr:colOff>
      <xdr:row>46</xdr:row>
      <xdr:rowOff>295275</xdr:rowOff>
    </xdr:to>
    <xdr:grpSp>
      <xdr:nvGrpSpPr>
        <xdr:cNvPr id="2080" name="Group 3050"/>
        <xdr:cNvGrpSpPr>
          <a:grpSpLocks/>
        </xdr:cNvGrpSpPr>
      </xdr:nvGrpSpPr>
      <xdr:grpSpPr bwMode="auto">
        <a:xfrm>
          <a:off x="6124575" y="15192375"/>
          <a:ext cx="1666875" cy="266700"/>
          <a:chOff x="589" y="376"/>
          <a:chExt cx="175" cy="28"/>
        </a:xfrm>
      </xdr:grpSpPr>
      <xdr:sp macro="" textlink="I47">
        <xdr:nvSpPr>
          <xdr:cNvPr id="2081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8D29FF6-FF2D-4270-8BD9-CFAE00ECABC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47">
        <xdr:nvSpPr>
          <xdr:cNvPr id="2082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832432D-EFA3-45C1-BD73-9ED90DEB1A4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47">
        <xdr:nvSpPr>
          <xdr:cNvPr id="2083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A9DD006-2CC4-4177-BF3F-5D1FF747613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084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085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47</xdr:row>
      <xdr:rowOff>28575</xdr:rowOff>
    </xdr:from>
    <xdr:to>
      <xdr:col>18</xdr:col>
      <xdr:colOff>1724025</xdr:colOff>
      <xdr:row>47</xdr:row>
      <xdr:rowOff>295275</xdr:rowOff>
    </xdr:to>
    <xdr:grpSp>
      <xdr:nvGrpSpPr>
        <xdr:cNvPr id="2086" name="Group 3050"/>
        <xdr:cNvGrpSpPr>
          <a:grpSpLocks/>
        </xdr:cNvGrpSpPr>
      </xdr:nvGrpSpPr>
      <xdr:grpSpPr bwMode="auto">
        <a:xfrm>
          <a:off x="6124575" y="15525750"/>
          <a:ext cx="1666875" cy="266700"/>
          <a:chOff x="589" y="376"/>
          <a:chExt cx="175" cy="28"/>
        </a:xfrm>
      </xdr:grpSpPr>
      <xdr:sp macro="" textlink="I48">
        <xdr:nvSpPr>
          <xdr:cNvPr id="2087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665BC1C-1AD1-4F0B-A144-07E52A03F4E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48">
        <xdr:nvSpPr>
          <xdr:cNvPr id="2088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4469BB5-2430-436A-B6FD-4FAE731BFCF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48">
        <xdr:nvSpPr>
          <xdr:cNvPr id="2089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3B9F39B-8307-405C-85ED-03675013C78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090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091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48</xdr:row>
      <xdr:rowOff>28575</xdr:rowOff>
    </xdr:from>
    <xdr:to>
      <xdr:col>18</xdr:col>
      <xdr:colOff>1724025</xdr:colOff>
      <xdr:row>48</xdr:row>
      <xdr:rowOff>295275</xdr:rowOff>
    </xdr:to>
    <xdr:grpSp>
      <xdr:nvGrpSpPr>
        <xdr:cNvPr id="2092" name="Group 3050"/>
        <xdr:cNvGrpSpPr>
          <a:grpSpLocks/>
        </xdr:cNvGrpSpPr>
      </xdr:nvGrpSpPr>
      <xdr:grpSpPr bwMode="auto">
        <a:xfrm>
          <a:off x="6124575" y="15859125"/>
          <a:ext cx="1666875" cy="266700"/>
          <a:chOff x="589" y="376"/>
          <a:chExt cx="175" cy="28"/>
        </a:xfrm>
      </xdr:grpSpPr>
      <xdr:sp macro="" textlink="I49">
        <xdr:nvSpPr>
          <xdr:cNvPr id="2093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FCAB02E-4A81-4E6F-BF0C-22407D5F1B4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49">
        <xdr:nvSpPr>
          <xdr:cNvPr id="2094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2B5715F-47E4-4B55-BDF5-ACA71847C22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49">
        <xdr:nvSpPr>
          <xdr:cNvPr id="2095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8DA2C5F-CB1E-461B-A388-B2CB716D18A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096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097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52</xdr:row>
      <xdr:rowOff>28575</xdr:rowOff>
    </xdr:from>
    <xdr:to>
      <xdr:col>18</xdr:col>
      <xdr:colOff>1724025</xdr:colOff>
      <xdr:row>52</xdr:row>
      <xdr:rowOff>295275</xdr:rowOff>
    </xdr:to>
    <xdr:grpSp>
      <xdr:nvGrpSpPr>
        <xdr:cNvPr id="2134" name="Group 3050"/>
        <xdr:cNvGrpSpPr>
          <a:grpSpLocks/>
        </xdr:cNvGrpSpPr>
      </xdr:nvGrpSpPr>
      <xdr:grpSpPr bwMode="auto">
        <a:xfrm>
          <a:off x="6124575" y="17192625"/>
          <a:ext cx="1666875" cy="266700"/>
          <a:chOff x="589" y="376"/>
          <a:chExt cx="175" cy="28"/>
        </a:xfrm>
      </xdr:grpSpPr>
      <xdr:sp macro="" textlink="I53">
        <xdr:nvSpPr>
          <xdr:cNvPr id="2135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F1907A9-0B31-4168-9EA5-4882E2DD8A4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53">
        <xdr:nvSpPr>
          <xdr:cNvPr id="2136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4D2062B1-F0F6-43FB-BA27-D5CAEB0AB3C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53">
        <xdr:nvSpPr>
          <xdr:cNvPr id="2137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0528E04-0D74-4B30-B7B3-17D90382B13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138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139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53</xdr:row>
      <xdr:rowOff>28575</xdr:rowOff>
    </xdr:from>
    <xdr:to>
      <xdr:col>18</xdr:col>
      <xdr:colOff>1724025</xdr:colOff>
      <xdr:row>53</xdr:row>
      <xdr:rowOff>295275</xdr:rowOff>
    </xdr:to>
    <xdr:grpSp>
      <xdr:nvGrpSpPr>
        <xdr:cNvPr id="2140" name="Group 3050"/>
        <xdr:cNvGrpSpPr>
          <a:grpSpLocks/>
        </xdr:cNvGrpSpPr>
      </xdr:nvGrpSpPr>
      <xdr:grpSpPr bwMode="auto">
        <a:xfrm>
          <a:off x="6124575" y="17526000"/>
          <a:ext cx="1666875" cy="266700"/>
          <a:chOff x="589" y="376"/>
          <a:chExt cx="175" cy="28"/>
        </a:xfrm>
      </xdr:grpSpPr>
      <xdr:sp macro="" textlink="I54">
        <xdr:nvSpPr>
          <xdr:cNvPr id="2141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3C00CF9-B7E7-4F8D-BFD5-358AA2AC039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54">
        <xdr:nvSpPr>
          <xdr:cNvPr id="2142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482C89E7-6E7B-430A-B1C7-CD954BD29AC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54">
        <xdr:nvSpPr>
          <xdr:cNvPr id="2143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BEA85BC-43B8-48A8-A33B-62E6363C67C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144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145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54</xdr:row>
      <xdr:rowOff>28575</xdr:rowOff>
    </xdr:from>
    <xdr:to>
      <xdr:col>18</xdr:col>
      <xdr:colOff>1724025</xdr:colOff>
      <xdr:row>54</xdr:row>
      <xdr:rowOff>295275</xdr:rowOff>
    </xdr:to>
    <xdr:grpSp>
      <xdr:nvGrpSpPr>
        <xdr:cNvPr id="2146" name="Group 3050"/>
        <xdr:cNvGrpSpPr>
          <a:grpSpLocks/>
        </xdr:cNvGrpSpPr>
      </xdr:nvGrpSpPr>
      <xdr:grpSpPr bwMode="auto">
        <a:xfrm>
          <a:off x="6124575" y="17859375"/>
          <a:ext cx="1666875" cy="266700"/>
          <a:chOff x="589" y="376"/>
          <a:chExt cx="175" cy="28"/>
        </a:xfrm>
      </xdr:grpSpPr>
      <xdr:sp macro="" textlink="I55">
        <xdr:nvSpPr>
          <xdr:cNvPr id="2147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55DDC12-40FF-4D10-800F-AB36DF08FB3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55">
        <xdr:nvSpPr>
          <xdr:cNvPr id="2148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AC25CEA-1BF6-46C6-A6B4-EF92F0B9637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55">
        <xdr:nvSpPr>
          <xdr:cNvPr id="2149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5092D27-FBE0-4032-A872-14F41F457AD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150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151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55</xdr:row>
      <xdr:rowOff>28575</xdr:rowOff>
    </xdr:from>
    <xdr:to>
      <xdr:col>18</xdr:col>
      <xdr:colOff>1724025</xdr:colOff>
      <xdr:row>55</xdr:row>
      <xdr:rowOff>295275</xdr:rowOff>
    </xdr:to>
    <xdr:grpSp>
      <xdr:nvGrpSpPr>
        <xdr:cNvPr id="2152" name="Group 3050"/>
        <xdr:cNvGrpSpPr>
          <a:grpSpLocks/>
        </xdr:cNvGrpSpPr>
      </xdr:nvGrpSpPr>
      <xdr:grpSpPr bwMode="auto">
        <a:xfrm>
          <a:off x="6124575" y="18192750"/>
          <a:ext cx="1666875" cy="266700"/>
          <a:chOff x="589" y="376"/>
          <a:chExt cx="175" cy="28"/>
        </a:xfrm>
      </xdr:grpSpPr>
      <xdr:sp macro="" textlink="I56">
        <xdr:nvSpPr>
          <xdr:cNvPr id="2153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8214C4A-54FB-4DA7-B7D8-9A01FBE9D96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56">
        <xdr:nvSpPr>
          <xdr:cNvPr id="2154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2805BBD-DE92-4C64-9008-6D01C616163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56">
        <xdr:nvSpPr>
          <xdr:cNvPr id="2155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CCD0DA8-6E7A-437B-971E-2570DCED971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156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157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63</xdr:row>
      <xdr:rowOff>28575</xdr:rowOff>
    </xdr:from>
    <xdr:to>
      <xdr:col>18</xdr:col>
      <xdr:colOff>1724025</xdr:colOff>
      <xdr:row>63</xdr:row>
      <xdr:rowOff>295275</xdr:rowOff>
    </xdr:to>
    <xdr:grpSp>
      <xdr:nvGrpSpPr>
        <xdr:cNvPr id="2170" name="Group 3050"/>
        <xdr:cNvGrpSpPr>
          <a:grpSpLocks/>
        </xdr:cNvGrpSpPr>
      </xdr:nvGrpSpPr>
      <xdr:grpSpPr bwMode="auto">
        <a:xfrm>
          <a:off x="6124575" y="20859750"/>
          <a:ext cx="1666875" cy="266700"/>
          <a:chOff x="589" y="376"/>
          <a:chExt cx="175" cy="28"/>
        </a:xfrm>
      </xdr:grpSpPr>
      <xdr:sp macro="" textlink="I64">
        <xdr:nvSpPr>
          <xdr:cNvPr id="2171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CF5A7AD-2A3C-4E97-AA92-46CF43DA349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64">
        <xdr:nvSpPr>
          <xdr:cNvPr id="2172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8BC11D1-BD6D-4843-B849-1C2DE53B35D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64">
        <xdr:nvSpPr>
          <xdr:cNvPr id="2173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12E2B2F-C064-429B-9608-00BC767489A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174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175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64</xdr:row>
      <xdr:rowOff>28575</xdr:rowOff>
    </xdr:from>
    <xdr:to>
      <xdr:col>18</xdr:col>
      <xdr:colOff>1724025</xdr:colOff>
      <xdr:row>64</xdr:row>
      <xdr:rowOff>295275</xdr:rowOff>
    </xdr:to>
    <xdr:grpSp>
      <xdr:nvGrpSpPr>
        <xdr:cNvPr id="2176" name="Group 3050"/>
        <xdr:cNvGrpSpPr>
          <a:grpSpLocks/>
        </xdr:cNvGrpSpPr>
      </xdr:nvGrpSpPr>
      <xdr:grpSpPr bwMode="auto">
        <a:xfrm>
          <a:off x="6124575" y="21193125"/>
          <a:ext cx="1666875" cy="266700"/>
          <a:chOff x="589" y="376"/>
          <a:chExt cx="175" cy="28"/>
        </a:xfrm>
      </xdr:grpSpPr>
      <xdr:sp macro="" textlink="I65">
        <xdr:nvSpPr>
          <xdr:cNvPr id="2177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F81FD39-D80B-42A4-9C4D-61D1AA81675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65">
        <xdr:nvSpPr>
          <xdr:cNvPr id="2178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4C2186F9-EB32-4EBC-BEB2-4867A563AF6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65">
        <xdr:nvSpPr>
          <xdr:cNvPr id="2179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26F4743-F567-40C2-A439-7D1FE000533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180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181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67</xdr:row>
      <xdr:rowOff>47625</xdr:rowOff>
    </xdr:from>
    <xdr:to>
      <xdr:col>18</xdr:col>
      <xdr:colOff>1933575</xdr:colOff>
      <xdr:row>67</xdr:row>
      <xdr:rowOff>285750</xdr:rowOff>
    </xdr:to>
    <xdr:grpSp>
      <xdr:nvGrpSpPr>
        <xdr:cNvPr id="2200" name="Group 3094"/>
        <xdr:cNvGrpSpPr>
          <a:grpSpLocks/>
        </xdr:cNvGrpSpPr>
      </xdr:nvGrpSpPr>
      <xdr:grpSpPr bwMode="auto">
        <a:xfrm>
          <a:off x="6124575" y="22212300"/>
          <a:ext cx="1876425" cy="238125"/>
          <a:chOff x="626" y="613"/>
          <a:chExt cx="197" cy="25"/>
        </a:xfrm>
      </xdr:grpSpPr>
      <xdr:sp macro="" textlink="I68">
        <xdr:nvSpPr>
          <xdr:cNvPr id="2201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AC048D9-F9A6-49DF-85FC-1018B3BAD1E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68">
        <xdr:nvSpPr>
          <xdr:cNvPr id="2202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E5EE477-5956-4AA3-96E1-5B62DFCEEEC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68">
        <xdr:nvSpPr>
          <xdr:cNvPr id="2203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24995D7-FD5D-49A2-BF5C-3CA8FC44852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68">
        <xdr:nvSpPr>
          <xdr:cNvPr id="2204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4FF5691-8FAC-4953-89FD-4C6BF05B412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68">
        <xdr:nvSpPr>
          <xdr:cNvPr id="2205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14ACE98-5707-4A18-900D-19A96133678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206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207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68</xdr:row>
      <xdr:rowOff>28575</xdr:rowOff>
    </xdr:from>
    <xdr:to>
      <xdr:col>18</xdr:col>
      <xdr:colOff>1724025</xdr:colOff>
      <xdr:row>68</xdr:row>
      <xdr:rowOff>295275</xdr:rowOff>
    </xdr:to>
    <xdr:grpSp>
      <xdr:nvGrpSpPr>
        <xdr:cNvPr id="2208" name="Group 3050"/>
        <xdr:cNvGrpSpPr>
          <a:grpSpLocks/>
        </xdr:cNvGrpSpPr>
      </xdr:nvGrpSpPr>
      <xdr:grpSpPr bwMode="auto">
        <a:xfrm>
          <a:off x="6124575" y="22526625"/>
          <a:ext cx="1666875" cy="266700"/>
          <a:chOff x="589" y="376"/>
          <a:chExt cx="175" cy="28"/>
        </a:xfrm>
      </xdr:grpSpPr>
      <xdr:sp macro="" textlink="I69">
        <xdr:nvSpPr>
          <xdr:cNvPr id="2209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431F850-64FF-4BDD-9544-EDC7488A932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69">
        <xdr:nvSpPr>
          <xdr:cNvPr id="2210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2CC7C59-3001-4D4A-9BC5-14F9F079A5C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69">
        <xdr:nvSpPr>
          <xdr:cNvPr id="2211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50C6113-EE90-405C-9D42-D1F947C4795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212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213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69</xdr:row>
      <xdr:rowOff>28575</xdr:rowOff>
    </xdr:from>
    <xdr:to>
      <xdr:col>18</xdr:col>
      <xdr:colOff>1724025</xdr:colOff>
      <xdr:row>69</xdr:row>
      <xdr:rowOff>295275</xdr:rowOff>
    </xdr:to>
    <xdr:grpSp>
      <xdr:nvGrpSpPr>
        <xdr:cNvPr id="2214" name="Group 3050"/>
        <xdr:cNvGrpSpPr>
          <a:grpSpLocks/>
        </xdr:cNvGrpSpPr>
      </xdr:nvGrpSpPr>
      <xdr:grpSpPr bwMode="auto">
        <a:xfrm>
          <a:off x="6124575" y="22860000"/>
          <a:ext cx="1666875" cy="266700"/>
          <a:chOff x="589" y="376"/>
          <a:chExt cx="175" cy="28"/>
        </a:xfrm>
      </xdr:grpSpPr>
      <xdr:sp macro="" textlink="I70">
        <xdr:nvSpPr>
          <xdr:cNvPr id="2215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5AFFEA8-AFA7-4B8B-8CAC-C943189C0EE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70">
        <xdr:nvSpPr>
          <xdr:cNvPr id="2216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9D3DF87-9FD1-444C-8570-1CB04983923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70">
        <xdr:nvSpPr>
          <xdr:cNvPr id="2217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643C074-3AC9-482C-881A-E8345198698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218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219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70</xdr:row>
      <xdr:rowOff>28575</xdr:rowOff>
    </xdr:from>
    <xdr:to>
      <xdr:col>18</xdr:col>
      <xdr:colOff>1724025</xdr:colOff>
      <xdr:row>70</xdr:row>
      <xdr:rowOff>295275</xdr:rowOff>
    </xdr:to>
    <xdr:grpSp>
      <xdr:nvGrpSpPr>
        <xdr:cNvPr id="2220" name="Group 3050"/>
        <xdr:cNvGrpSpPr>
          <a:grpSpLocks/>
        </xdr:cNvGrpSpPr>
      </xdr:nvGrpSpPr>
      <xdr:grpSpPr bwMode="auto">
        <a:xfrm>
          <a:off x="6124575" y="23193375"/>
          <a:ext cx="1666875" cy="266700"/>
          <a:chOff x="589" y="376"/>
          <a:chExt cx="175" cy="28"/>
        </a:xfrm>
      </xdr:grpSpPr>
      <xdr:sp macro="" textlink="I71">
        <xdr:nvSpPr>
          <xdr:cNvPr id="2221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57F9FDC-EF5B-479C-8771-3D9B0AFCEFE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71">
        <xdr:nvSpPr>
          <xdr:cNvPr id="2222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69189EF-A4A5-4898-9FD3-E73DB62A6BA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71">
        <xdr:nvSpPr>
          <xdr:cNvPr id="2223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EB632CF-86A6-4E1B-9647-65D560A02E4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224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225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75</xdr:row>
      <xdr:rowOff>19050</xdr:rowOff>
    </xdr:from>
    <xdr:to>
      <xdr:col>18</xdr:col>
      <xdr:colOff>1905000</xdr:colOff>
      <xdr:row>75</xdr:row>
      <xdr:rowOff>304800</xdr:rowOff>
    </xdr:to>
    <xdr:grpSp>
      <xdr:nvGrpSpPr>
        <xdr:cNvPr id="2347" name="Group 3092"/>
        <xdr:cNvGrpSpPr>
          <a:grpSpLocks/>
        </xdr:cNvGrpSpPr>
      </xdr:nvGrpSpPr>
      <xdr:grpSpPr bwMode="auto">
        <a:xfrm>
          <a:off x="6115050" y="24850725"/>
          <a:ext cx="1857375" cy="285750"/>
          <a:chOff x="606" y="2035"/>
          <a:chExt cx="195" cy="30"/>
        </a:xfrm>
      </xdr:grpSpPr>
      <xdr:sp macro="" textlink="I61">
        <xdr:nvSpPr>
          <xdr:cNvPr id="2348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A79782B-C879-4FEF-BC49-D1CE65B34CE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1000</a:t>
            </a:fld>
            <a:endParaRPr lang="en-US"/>
          </a:p>
        </xdr:txBody>
      </xdr:sp>
      <xdr:sp macro="" textlink="J61">
        <xdr:nvSpPr>
          <xdr:cNvPr id="2349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CCBBCFD-2E59-4293-A479-2D188986905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61">
        <xdr:nvSpPr>
          <xdr:cNvPr id="2350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6F34C57-967F-49BB-BCEF-6F7B3136A7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2351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61">
        <xdr:nvSpPr>
          <xdr:cNvPr id="2352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6F22674-C5AF-443E-92CC-3647B868706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353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74</xdr:row>
      <xdr:rowOff>28575</xdr:rowOff>
    </xdr:from>
    <xdr:to>
      <xdr:col>18</xdr:col>
      <xdr:colOff>1724025</xdr:colOff>
      <xdr:row>74</xdr:row>
      <xdr:rowOff>295275</xdr:rowOff>
    </xdr:to>
    <xdr:grpSp>
      <xdr:nvGrpSpPr>
        <xdr:cNvPr id="2366" name="Group 3050"/>
        <xdr:cNvGrpSpPr>
          <a:grpSpLocks/>
        </xdr:cNvGrpSpPr>
      </xdr:nvGrpSpPr>
      <xdr:grpSpPr bwMode="auto">
        <a:xfrm>
          <a:off x="6124575" y="24526875"/>
          <a:ext cx="1666875" cy="266700"/>
          <a:chOff x="589" y="376"/>
          <a:chExt cx="175" cy="28"/>
        </a:xfrm>
      </xdr:grpSpPr>
      <xdr:sp macro="" textlink="I75">
        <xdr:nvSpPr>
          <xdr:cNvPr id="2367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85DBFE6-5C61-4923-9298-C214BDAA047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75">
        <xdr:nvSpPr>
          <xdr:cNvPr id="2368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45B3195F-CD20-45ED-A3A5-989730A4A93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75">
        <xdr:nvSpPr>
          <xdr:cNvPr id="2369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FD607204-DB14-4FC6-8E50-616E3DF45F8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370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371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72</xdr:row>
      <xdr:rowOff>47625</xdr:rowOff>
    </xdr:from>
    <xdr:to>
      <xdr:col>18</xdr:col>
      <xdr:colOff>1933575</xdr:colOff>
      <xdr:row>72</xdr:row>
      <xdr:rowOff>285750</xdr:rowOff>
    </xdr:to>
    <xdr:grpSp>
      <xdr:nvGrpSpPr>
        <xdr:cNvPr id="2372" name="Group 3094"/>
        <xdr:cNvGrpSpPr>
          <a:grpSpLocks/>
        </xdr:cNvGrpSpPr>
      </xdr:nvGrpSpPr>
      <xdr:grpSpPr bwMode="auto">
        <a:xfrm>
          <a:off x="6124575" y="23879175"/>
          <a:ext cx="1876425" cy="238125"/>
          <a:chOff x="626" y="613"/>
          <a:chExt cx="197" cy="25"/>
        </a:xfrm>
      </xdr:grpSpPr>
      <xdr:sp macro="" textlink="I73">
        <xdr:nvSpPr>
          <xdr:cNvPr id="2373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61AAD63-475A-4902-82B0-C48DB65EB5C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73">
        <xdr:nvSpPr>
          <xdr:cNvPr id="2374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DAA989B-90DE-4ED6-B5C1-085E44E8709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73">
        <xdr:nvSpPr>
          <xdr:cNvPr id="2375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85E00D7-D5DA-400C-9858-321F688F1D3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L73">
        <xdr:nvSpPr>
          <xdr:cNvPr id="2376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AF386E1-F659-47CE-A55C-E963F7F5629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73">
        <xdr:nvSpPr>
          <xdr:cNvPr id="2377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96D877C-848C-484F-BCAA-749E0ACAC94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378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379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73</xdr:row>
      <xdr:rowOff>47625</xdr:rowOff>
    </xdr:from>
    <xdr:to>
      <xdr:col>18</xdr:col>
      <xdr:colOff>1933575</xdr:colOff>
      <xdr:row>73</xdr:row>
      <xdr:rowOff>285750</xdr:rowOff>
    </xdr:to>
    <xdr:grpSp>
      <xdr:nvGrpSpPr>
        <xdr:cNvPr id="2380" name="Group 3094"/>
        <xdr:cNvGrpSpPr>
          <a:grpSpLocks/>
        </xdr:cNvGrpSpPr>
      </xdr:nvGrpSpPr>
      <xdr:grpSpPr bwMode="auto">
        <a:xfrm>
          <a:off x="6124575" y="24212550"/>
          <a:ext cx="1876425" cy="238125"/>
          <a:chOff x="626" y="613"/>
          <a:chExt cx="197" cy="25"/>
        </a:xfrm>
      </xdr:grpSpPr>
      <xdr:sp macro="" textlink="I74">
        <xdr:nvSpPr>
          <xdr:cNvPr id="2381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CE2D376-097B-4333-B8F0-6EF7BFE1F22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74">
        <xdr:nvSpPr>
          <xdr:cNvPr id="2382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3AF6B05-EFFE-404C-A2B8-917210B7F3B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74">
        <xdr:nvSpPr>
          <xdr:cNvPr id="2383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CFA6E51-F4DA-46C7-9974-D4DC669654A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74">
        <xdr:nvSpPr>
          <xdr:cNvPr id="2384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B04BFBF-C39A-4B06-9772-DAF9CFBE7B2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74">
        <xdr:nvSpPr>
          <xdr:cNvPr id="2385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3F6362F-987C-4921-A836-6291E92734B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386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387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71</xdr:row>
      <xdr:rowOff>19050</xdr:rowOff>
    </xdr:from>
    <xdr:to>
      <xdr:col>18</xdr:col>
      <xdr:colOff>1905000</xdr:colOff>
      <xdr:row>71</xdr:row>
      <xdr:rowOff>304800</xdr:rowOff>
    </xdr:to>
    <xdr:grpSp>
      <xdr:nvGrpSpPr>
        <xdr:cNvPr id="2388" name="Group 3092"/>
        <xdr:cNvGrpSpPr>
          <a:grpSpLocks/>
        </xdr:cNvGrpSpPr>
      </xdr:nvGrpSpPr>
      <xdr:grpSpPr bwMode="auto">
        <a:xfrm>
          <a:off x="6115050" y="23517225"/>
          <a:ext cx="1857375" cy="285750"/>
          <a:chOff x="606" y="2035"/>
          <a:chExt cx="195" cy="30"/>
        </a:xfrm>
      </xdr:grpSpPr>
      <xdr:sp macro="" textlink="I72">
        <xdr:nvSpPr>
          <xdr:cNvPr id="2389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5395B0A-706F-49B6-9D12-8CDCEC90743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1000</a:t>
            </a:fld>
            <a:endParaRPr lang="en-US"/>
          </a:p>
        </xdr:txBody>
      </xdr:sp>
      <xdr:sp macro="" textlink="J72">
        <xdr:nvSpPr>
          <xdr:cNvPr id="2390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B7775EA-736D-42C7-8EE2-59411825203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72">
        <xdr:nvSpPr>
          <xdr:cNvPr id="2391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2FABF9D-6CDE-4917-BFB9-E9515BD8C27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2392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72">
        <xdr:nvSpPr>
          <xdr:cNvPr id="2393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0341B9E-D807-4107-A9EF-869E35CF253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394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78</xdr:row>
      <xdr:rowOff>28575</xdr:rowOff>
    </xdr:from>
    <xdr:to>
      <xdr:col>18</xdr:col>
      <xdr:colOff>1724025</xdr:colOff>
      <xdr:row>78</xdr:row>
      <xdr:rowOff>295275</xdr:rowOff>
    </xdr:to>
    <xdr:grpSp>
      <xdr:nvGrpSpPr>
        <xdr:cNvPr id="2395" name="Group 3050"/>
        <xdr:cNvGrpSpPr>
          <a:grpSpLocks/>
        </xdr:cNvGrpSpPr>
      </xdr:nvGrpSpPr>
      <xdr:grpSpPr bwMode="auto">
        <a:xfrm>
          <a:off x="6124575" y="25860375"/>
          <a:ext cx="1666875" cy="266700"/>
          <a:chOff x="589" y="376"/>
          <a:chExt cx="175" cy="28"/>
        </a:xfrm>
      </xdr:grpSpPr>
      <xdr:sp macro="" textlink="I79">
        <xdr:nvSpPr>
          <xdr:cNvPr id="2396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E68494F-8F25-4E85-A428-10BEBB6EF03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79">
        <xdr:nvSpPr>
          <xdr:cNvPr id="2397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249D3B1-0E6A-4E9E-A899-72C95C73B5D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79">
        <xdr:nvSpPr>
          <xdr:cNvPr id="2398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887FFF2-E751-487F-B8FC-04F1623D913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399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400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79</xdr:row>
      <xdr:rowOff>28575</xdr:rowOff>
    </xdr:from>
    <xdr:to>
      <xdr:col>18</xdr:col>
      <xdr:colOff>1724025</xdr:colOff>
      <xdr:row>79</xdr:row>
      <xdr:rowOff>295275</xdr:rowOff>
    </xdr:to>
    <xdr:grpSp>
      <xdr:nvGrpSpPr>
        <xdr:cNvPr id="2401" name="Group 3050"/>
        <xdr:cNvGrpSpPr>
          <a:grpSpLocks/>
        </xdr:cNvGrpSpPr>
      </xdr:nvGrpSpPr>
      <xdr:grpSpPr bwMode="auto">
        <a:xfrm>
          <a:off x="6124575" y="26193750"/>
          <a:ext cx="1666875" cy="266700"/>
          <a:chOff x="589" y="376"/>
          <a:chExt cx="175" cy="28"/>
        </a:xfrm>
      </xdr:grpSpPr>
      <xdr:sp macro="" textlink="I80">
        <xdr:nvSpPr>
          <xdr:cNvPr id="2402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F8D95A0-9E05-413B-ACD6-DE1B32429AC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80">
        <xdr:nvSpPr>
          <xdr:cNvPr id="2403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C5C0732C-8B40-44D9-A99B-FBDAA7AF9B4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80">
        <xdr:nvSpPr>
          <xdr:cNvPr id="2404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0E7EB4E-DC2E-4A3A-8B3A-11E4BA22832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405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406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77</xdr:row>
      <xdr:rowOff>47625</xdr:rowOff>
    </xdr:from>
    <xdr:to>
      <xdr:col>18</xdr:col>
      <xdr:colOff>1933575</xdr:colOff>
      <xdr:row>77</xdr:row>
      <xdr:rowOff>285750</xdr:rowOff>
    </xdr:to>
    <xdr:grpSp>
      <xdr:nvGrpSpPr>
        <xdr:cNvPr id="2407" name="Group 3094"/>
        <xdr:cNvGrpSpPr>
          <a:grpSpLocks/>
        </xdr:cNvGrpSpPr>
      </xdr:nvGrpSpPr>
      <xdr:grpSpPr bwMode="auto">
        <a:xfrm>
          <a:off x="6124575" y="25546050"/>
          <a:ext cx="1876425" cy="238125"/>
          <a:chOff x="626" y="613"/>
          <a:chExt cx="197" cy="25"/>
        </a:xfrm>
      </xdr:grpSpPr>
      <xdr:sp macro="" textlink="I78">
        <xdr:nvSpPr>
          <xdr:cNvPr id="240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B01C2C7-F8E3-41FE-A791-843691A58D0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78">
        <xdr:nvSpPr>
          <xdr:cNvPr id="2409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4A161E4-274C-4D88-B4E3-05502083C0B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78">
        <xdr:nvSpPr>
          <xdr:cNvPr id="2410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E04231B-EA7F-4274-9810-D6FE3AB8800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78">
        <xdr:nvSpPr>
          <xdr:cNvPr id="2411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76DCEFB-6488-4419-B57A-30A45C5DFDB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78">
        <xdr:nvSpPr>
          <xdr:cNvPr id="241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F39F45F-20D6-40CC-900E-7945E9D28A7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41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41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76</xdr:row>
      <xdr:rowOff>47625</xdr:rowOff>
    </xdr:from>
    <xdr:to>
      <xdr:col>18</xdr:col>
      <xdr:colOff>1933575</xdr:colOff>
      <xdr:row>76</xdr:row>
      <xdr:rowOff>285750</xdr:rowOff>
    </xdr:to>
    <xdr:grpSp>
      <xdr:nvGrpSpPr>
        <xdr:cNvPr id="2415" name="Group 3094"/>
        <xdr:cNvGrpSpPr>
          <a:grpSpLocks/>
        </xdr:cNvGrpSpPr>
      </xdr:nvGrpSpPr>
      <xdr:grpSpPr bwMode="auto">
        <a:xfrm>
          <a:off x="6124575" y="25212675"/>
          <a:ext cx="1876425" cy="238125"/>
          <a:chOff x="626" y="613"/>
          <a:chExt cx="197" cy="25"/>
        </a:xfrm>
      </xdr:grpSpPr>
      <xdr:sp macro="" textlink="I77">
        <xdr:nvSpPr>
          <xdr:cNvPr id="2416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85F4E09-F09F-497B-A292-E619E368AE9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77">
        <xdr:nvSpPr>
          <xdr:cNvPr id="2417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22784B9-0872-467E-AFA0-60171B71851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77">
        <xdr:nvSpPr>
          <xdr:cNvPr id="2418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B93C6A7-86E8-4B2C-988D-B7BDA4C8EEB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L77">
        <xdr:nvSpPr>
          <xdr:cNvPr id="2419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3B96004-35C2-4CEE-B78D-5382E681056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77">
        <xdr:nvSpPr>
          <xdr:cNvPr id="2420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3AA0698-F11B-4CAC-B19F-A266C9938B4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421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422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80</xdr:row>
      <xdr:rowOff>19050</xdr:rowOff>
    </xdr:from>
    <xdr:to>
      <xdr:col>18</xdr:col>
      <xdr:colOff>1905000</xdr:colOff>
      <xdr:row>80</xdr:row>
      <xdr:rowOff>304800</xdr:rowOff>
    </xdr:to>
    <xdr:grpSp>
      <xdr:nvGrpSpPr>
        <xdr:cNvPr id="2452" name="Group 3092"/>
        <xdr:cNvGrpSpPr>
          <a:grpSpLocks/>
        </xdr:cNvGrpSpPr>
      </xdr:nvGrpSpPr>
      <xdr:grpSpPr bwMode="auto">
        <a:xfrm>
          <a:off x="6115050" y="26517600"/>
          <a:ext cx="1857375" cy="285750"/>
          <a:chOff x="606" y="2035"/>
          <a:chExt cx="195" cy="30"/>
        </a:xfrm>
      </xdr:grpSpPr>
      <xdr:sp macro="" textlink="I61">
        <xdr:nvSpPr>
          <xdr:cNvPr id="2453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A79782B-C879-4FEF-BC49-D1CE65B34CE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1000</a:t>
            </a:fld>
            <a:endParaRPr lang="en-US"/>
          </a:p>
        </xdr:txBody>
      </xdr:sp>
      <xdr:sp macro="" textlink="J61">
        <xdr:nvSpPr>
          <xdr:cNvPr id="2454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CCBBCFD-2E59-4293-A479-2D188986905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61">
        <xdr:nvSpPr>
          <xdr:cNvPr id="2455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6F34C57-967F-49BB-BCEF-6F7B3136A7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2456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61">
        <xdr:nvSpPr>
          <xdr:cNvPr id="2457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6F22674-C5AF-443E-92CC-3647B868706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458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82</xdr:row>
      <xdr:rowOff>47625</xdr:rowOff>
    </xdr:from>
    <xdr:to>
      <xdr:col>18</xdr:col>
      <xdr:colOff>1933575</xdr:colOff>
      <xdr:row>82</xdr:row>
      <xdr:rowOff>285750</xdr:rowOff>
    </xdr:to>
    <xdr:grpSp>
      <xdr:nvGrpSpPr>
        <xdr:cNvPr id="2465" name="Group 3094"/>
        <xdr:cNvGrpSpPr>
          <a:grpSpLocks/>
        </xdr:cNvGrpSpPr>
      </xdr:nvGrpSpPr>
      <xdr:grpSpPr bwMode="auto">
        <a:xfrm>
          <a:off x="6124575" y="27212925"/>
          <a:ext cx="1876425" cy="238125"/>
          <a:chOff x="626" y="613"/>
          <a:chExt cx="197" cy="25"/>
        </a:xfrm>
      </xdr:grpSpPr>
      <xdr:sp macro="" textlink="I78">
        <xdr:nvSpPr>
          <xdr:cNvPr id="2466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B01C2C7-F8E3-41FE-A791-843691A58D0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78">
        <xdr:nvSpPr>
          <xdr:cNvPr id="2467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4A161E4-274C-4D88-B4E3-05502083C0B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78">
        <xdr:nvSpPr>
          <xdr:cNvPr id="2468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E04231B-EA7F-4274-9810-D6FE3AB8800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78">
        <xdr:nvSpPr>
          <xdr:cNvPr id="2469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76DCEFB-6488-4419-B57A-30A45C5DFDB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78">
        <xdr:nvSpPr>
          <xdr:cNvPr id="2470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F39F45F-20D6-40CC-900E-7945E9D28A7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471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472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81</xdr:row>
      <xdr:rowOff>47625</xdr:rowOff>
    </xdr:from>
    <xdr:to>
      <xdr:col>18</xdr:col>
      <xdr:colOff>1933575</xdr:colOff>
      <xdr:row>81</xdr:row>
      <xdr:rowOff>285750</xdr:rowOff>
    </xdr:to>
    <xdr:grpSp>
      <xdr:nvGrpSpPr>
        <xdr:cNvPr id="2473" name="Group 3094"/>
        <xdr:cNvGrpSpPr>
          <a:grpSpLocks/>
        </xdr:cNvGrpSpPr>
      </xdr:nvGrpSpPr>
      <xdr:grpSpPr bwMode="auto">
        <a:xfrm>
          <a:off x="6124575" y="26879550"/>
          <a:ext cx="1876425" cy="238125"/>
          <a:chOff x="626" y="613"/>
          <a:chExt cx="197" cy="25"/>
        </a:xfrm>
      </xdr:grpSpPr>
      <xdr:sp macro="" textlink="I77">
        <xdr:nvSpPr>
          <xdr:cNvPr id="2474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85F4E09-F09F-497B-A292-E619E368AE9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77">
        <xdr:nvSpPr>
          <xdr:cNvPr id="2475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22784B9-0872-467E-AFA0-60171B71851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77">
        <xdr:nvSpPr>
          <xdr:cNvPr id="2476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B93C6A7-86E8-4B2C-988D-B7BDA4C8EEB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L77">
        <xdr:nvSpPr>
          <xdr:cNvPr id="2477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3B96004-35C2-4CEE-B78D-5382E681056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77">
        <xdr:nvSpPr>
          <xdr:cNvPr id="2478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3AA0698-F11B-4CAC-B19F-A266C9938B4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479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480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86</xdr:row>
      <xdr:rowOff>19050</xdr:rowOff>
    </xdr:from>
    <xdr:to>
      <xdr:col>18</xdr:col>
      <xdr:colOff>1905000</xdr:colOff>
      <xdr:row>86</xdr:row>
      <xdr:rowOff>304800</xdr:rowOff>
    </xdr:to>
    <xdr:grpSp>
      <xdr:nvGrpSpPr>
        <xdr:cNvPr id="2510" name="Group 3092"/>
        <xdr:cNvGrpSpPr>
          <a:grpSpLocks/>
        </xdr:cNvGrpSpPr>
      </xdr:nvGrpSpPr>
      <xdr:grpSpPr bwMode="auto">
        <a:xfrm>
          <a:off x="6115050" y="28517850"/>
          <a:ext cx="1857375" cy="285750"/>
          <a:chOff x="606" y="2035"/>
          <a:chExt cx="195" cy="30"/>
        </a:xfrm>
      </xdr:grpSpPr>
      <xdr:sp macro="" textlink="I61">
        <xdr:nvSpPr>
          <xdr:cNvPr id="2511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A79782B-C879-4FEF-BC49-D1CE65B34CE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1000</a:t>
            </a:fld>
            <a:endParaRPr lang="en-US"/>
          </a:p>
        </xdr:txBody>
      </xdr:sp>
      <xdr:sp macro="" textlink="J61">
        <xdr:nvSpPr>
          <xdr:cNvPr id="2512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CCBBCFD-2E59-4293-A479-2D188986905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61">
        <xdr:nvSpPr>
          <xdr:cNvPr id="2513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6F34C57-967F-49BB-BCEF-6F7B3136A7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2514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61">
        <xdr:nvSpPr>
          <xdr:cNvPr id="2515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6F22674-C5AF-443E-92CC-3647B868706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516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87</xdr:row>
      <xdr:rowOff>47625</xdr:rowOff>
    </xdr:from>
    <xdr:to>
      <xdr:col>18</xdr:col>
      <xdr:colOff>1933575</xdr:colOff>
      <xdr:row>87</xdr:row>
      <xdr:rowOff>285750</xdr:rowOff>
    </xdr:to>
    <xdr:grpSp>
      <xdr:nvGrpSpPr>
        <xdr:cNvPr id="2531" name="Group 3094"/>
        <xdr:cNvGrpSpPr>
          <a:grpSpLocks/>
        </xdr:cNvGrpSpPr>
      </xdr:nvGrpSpPr>
      <xdr:grpSpPr bwMode="auto">
        <a:xfrm>
          <a:off x="6124575" y="28879800"/>
          <a:ext cx="1876425" cy="238125"/>
          <a:chOff x="626" y="613"/>
          <a:chExt cx="197" cy="25"/>
        </a:xfrm>
      </xdr:grpSpPr>
      <xdr:sp macro="" textlink="I77">
        <xdr:nvSpPr>
          <xdr:cNvPr id="2532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85F4E09-F09F-497B-A292-E619E368AE9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77">
        <xdr:nvSpPr>
          <xdr:cNvPr id="2533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22784B9-0872-467E-AFA0-60171B71851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77">
        <xdr:nvSpPr>
          <xdr:cNvPr id="2534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B93C6A7-86E8-4B2C-988D-B7BDA4C8EEB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L77">
        <xdr:nvSpPr>
          <xdr:cNvPr id="2535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3B96004-35C2-4CEE-B78D-5382E681056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77">
        <xdr:nvSpPr>
          <xdr:cNvPr id="2536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3AA0698-F11B-4CAC-B19F-A266C9938B4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537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538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83</xdr:row>
      <xdr:rowOff>28575</xdr:rowOff>
    </xdr:from>
    <xdr:to>
      <xdr:col>18</xdr:col>
      <xdr:colOff>1724025</xdr:colOff>
      <xdr:row>83</xdr:row>
      <xdr:rowOff>295275</xdr:rowOff>
    </xdr:to>
    <xdr:grpSp>
      <xdr:nvGrpSpPr>
        <xdr:cNvPr id="2563" name="Group 3050"/>
        <xdr:cNvGrpSpPr>
          <a:grpSpLocks/>
        </xdr:cNvGrpSpPr>
      </xdr:nvGrpSpPr>
      <xdr:grpSpPr bwMode="auto">
        <a:xfrm>
          <a:off x="6124575" y="27527250"/>
          <a:ext cx="1666875" cy="266700"/>
          <a:chOff x="589" y="376"/>
          <a:chExt cx="175" cy="28"/>
        </a:xfrm>
      </xdr:grpSpPr>
      <xdr:sp macro="" textlink="I84">
        <xdr:nvSpPr>
          <xdr:cNvPr id="2564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43AA9DC-29E5-433D-80E1-3D6148DDA5E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84">
        <xdr:nvSpPr>
          <xdr:cNvPr id="2565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CFFD6B1-5990-4E8B-A121-289618F4EEA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84">
        <xdr:nvSpPr>
          <xdr:cNvPr id="2566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F6C96EF-611E-4B28-8F9C-D765A05189A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567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568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84</xdr:row>
      <xdr:rowOff>28575</xdr:rowOff>
    </xdr:from>
    <xdr:to>
      <xdr:col>18</xdr:col>
      <xdr:colOff>1724025</xdr:colOff>
      <xdr:row>84</xdr:row>
      <xdr:rowOff>295275</xdr:rowOff>
    </xdr:to>
    <xdr:grpSp>
      <xdr:nvGrpSpPr>
        <xdr:cNvPr id="2569" name="Group 3050"/>
        <xdr:cNvGrpSpPr>
          <a:grpSpLocks/>
        </xdr:cNvGrpSpPr>
      </xdr:nvGrpSpPr>
      <xdr:grpSpPr bwMode="auto">
        <a:xfrm>
          <a:off x="6124575" y="27860625"/>
          <a:ext cx="1666875" cy="266700"/>
          <a:chOff x="589" y="376"/>
          <a:chExt cx="175" cy="28"/>
        </a:xfrm>
      </xdr:grpSpPr>
      <xdr:sp macro="" textlink="I85">
        <xdr:nvSpPr>
          <xdr:cNvPr id="2570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76DDCCB-C1B0-4508-90E0-25ECEF68617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85">
        <xdr:nvSpPr>
          <xdr:cNvPr id="2571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1DAFEC2-3002-400A-ACDD-A12B65643C5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85">
        <xdr:nvSpPr>
          <xdr:cNvPr id="2572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56B1024-4ECC-4D82-975F-FA25F8EFC7A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573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574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85</xdr:row>
      <xdr:rowOff>28575</xdr:rowOff>
    </xdr:from>
    <xdr:to>
      <xdr:col>18</xdr:col>
      <xdr:colOff>1724025</xdr:colOff>
      <xdr:row>85</xdr:row>
      <xdr:rowOff>295275</xdr:rowOff>
    </xdr:to>
    <xdr:grpSp>
      <xdr:nvGrpSpPr>
        <xdr:cNvPr id="2575" name="Group 3050"/>
        <xdr:cNvGrpSpPr>
          <a:grpSpLocks/>
        </xdr:cNvGrpSpPr>
      </xdr:nvGrpSpPr>
      <xdr:grpSpPr bwMode="auto">
        <a:xfrm>
          <a:off x="6124575" y="28194000"/>
          <a:ext cx="1666875" cy="266700"/>
          <a:chOff x="589" y="376"/>
          <a:chExt cx="175" cy="28"/>
        </a:xfrm>
      </xdr:grpSpPr>
      <xdr:sp macro="" textlink="I86">
        <xdr:nvSpPr>
          <xdr:cNvPr id="2576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30F61A5-17EC-4056-A840-68E0AC3D16E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86">
        <xdr:nvSpPr>
          <xdr:cNvPr id="2577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DC446A2-73F9-4B61-B725-2C859F210A9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86">
        <xdr:nvSpPr>
          <xdr:cNvPr id="2578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25ADA1A-D048-487D-A093-472A0951F4A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579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580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91</xdr:row>
      <xdr:rowOff>28575</xdr:rowOff>
    </xdr:from>
    <xdr:to>
      <xdr:col>18</xdr:col>
      <xdr:colOff>1724025</xdr:colOff>
      <xdr:row>91</xdr:row>
      <xdr:rowOff>295275</xdr:rowOff>
    </xdr:to>
    <xdr:grpSp>
      <xdr:nvGrpSpPr>
        <xdr:cNvPr id="2593" name="Group 3050"/>
        <xdr:cNvGrpSpPr>
          <a:grpSpLocks/>
        </xdr:cNvGrpSpPr>
      </xdr:nvGrpSpPr>
      <xdr:grpSpPr bwMode="auto">
        <a:xfrm>
          <a:off x="6124575" y="30194250"/>
          <a:ext cx="1666875" cy="266700"/>
          <a:chOff x="589" y="376"/>
          <a:chExt cx="175" cy="28"/>
        </a:xfrm>
      </xdr:grpSpPr>
      <xdr:sp macro="" textlink="I92">
        <xdr:nvSpPr>
          <xdr:cNvPr id="2594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34942FC-74A9-4576-8892-8C320D38AC0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92">
        <xdr:nvSpPr>
          <xdr:cNvPr id="2595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78980FE-7F9A-455D-83FE-6D35F332AC3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92">
        <xdr:nvSpPr>
          <xdr:cNvPr id="2596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F6F6FB1-05A7-4F72-9AD3-EF809E3663A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597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598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90</xdr:row>
      <xdr:rowOff>28575</xdr:rowOff>
    </xdr:from>
    <xdr:to>
      <xdr:col>18</xdr:col>
      <xdr:colOff>1724025</xdr:colOff>
      <xdr:row>90</xdr:row>
      <xdr:rowOff>295275</xdr:rowOff>
    </xdr:to>
    <xdr:grpSp>
      <xdr:nvGrpSpPr>
        <xdr:cNvPr id="2599" name="Group 3050"/>
        <xdr:cNvGrpSpPr>
          <a:grpSpLocks/>
        </xdr:cNvGrpSpPr>
      </xdr:nvGrpSpPr>
      <xdr:grpSpPr bwMode="auto">
        <a:xfrm>
          <a:off x="6124575" y="29860875"/>
          <a:ext cx="1666875" cy="266700"/>
          <a:chOff x="589" y="376"/>
          <a:chExt cx="175" cy="28"/>
        </a:xfrm>
      </xdr:grpSpPr>
      <xdr:sp macro="" textlink="I91">
        <xdr:nvSpPr>
          <xdr:cNvPr id="2600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FCF525D-0035-47AB-93DC-47BE3D80E53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91">
        <xdr:nvSpPr>
          <xdr:cNvPr id="2601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67F1F5B-A5F4-4822-8627-977808A6113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91">
        <xdr:nvSpPr>
          <xdr:cNvPr id="2602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A4748B5-BE1E-4BD6-91C5-683F738BCD7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603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604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89</xdr:row>
      <xdr:rowOff>28575</xdr:rowOff>
    </xdr:from>
    <xdr:to>
      <xdr:col>18</xdr:col>
      <xdr:colOff>1724025</xdr:colOff>
      <xdr:row>89</xdr:row>
      <xdr:rowOff>295275</xdr:rowOff>
    </xdr:to>
    <xdr:grpSp>
      <xdr:nvGrpSpPr>
        <xdr:cNvPr id="2605" name="Group 3050"/>
        <xdr:cNvGrpSpPr>
          <a:grpSpLocks/>
        </xdr:cNvGrpSpPr>
      </xdr:nvGrpSpPr>
      <xdr:grpSpPr bwMode="auto">
        <a:xfrm>
          <a:off x="6124575" y="29527500"/>
          <a:ext cx="1666875" cy="266700"/>
          <a:chOff x="589" y="376"/>
          <a:chExt cx="175" cy="28"/>
        </a:xfrm>
      </xdr:grpSpPr>
      <xdr:sp macro="" textlink="I90">
        <xdr:nvSpPr>
          <xdr:cNvPr id="2606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A304543-013E-4E0E-9237-BEF90F5A6B3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90">
        <xdr:nvSpPr>
          <xdr:cNvPr id="2607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6B0CE4D-EEB3-423C-A2CD-4638E73F6D1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90">
        <xdr:nvSpPr>
          <xdr:cNvPr id="2608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D28D883-D5A7-40D4-986E-1CB0E1A1EA0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609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610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88</xdr:row>
      <xdr:rowOff>47625</xdr:rowOff>
    </xdr:from>
    <xdr:to>
      <xdr:col>18</xdr:col>
      <xdr:colOff>1933575</xdr:colOff>
      <xdr:row>88</xdr:row>
      <xdr:rowOff>285750</xdr:rowOff>
    </xdr:to>
    <xdr:grpSp>
      <xdr:nvGrpSpPr>
        <xdr:cNvPr id="2611" name="Group 3094"/>
        <xdr:cNvGrpSpPr>
          <a:grpSpLocks/>
        </xdr:cNvGrpSpPr>
      </xdr:nvGrpSpPr>
      <xdr:grpSpPr bwMode="auto">
        <a:xfrm>
          <a:off x="6124575" y="29213175"/>
          <a:ext cx="1876425" cy="238125"/>
          <a:chOff x="626" y="613"/>
          <a:chExt cx="197" cy="25"/>
        </a:xfrm>
      </xdr:grpSpPr>
      <xdr:sp macro="" textlink="I89">
        <xdr:nvSpPr>
          <xdr:cNvPr id="2612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45B77EA-1D46-432A-B96C-3FB0D4D1C5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89">
        <xdr:nvSpPr>
          <xdr:cNvPr id="2613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79449B9-77C5-4269-BA81-99DDEC7056E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89">
        <xdr:nvSpPr>
          <xdr:cNvPr id="2614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38F16FA-40B5-42AC-8516-9E137259C10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89">
        <xdr:nvSpPr>
          <xdr:cNvPr id="2615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CBF7B44-0BBC-4DA0-9B50-1D08A283E81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89">
        <xdr:nvSpPr>
          <xdr:cNvPr id="2616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EB02655-6AD2-4D63-848C-53718C1418E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617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618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92</xdr:row>
      <xdr:rowOff>19050</xdr:rowOff>
    </xdr:from>
    <xdr:to>
      <xdr:col>18</xdr:col>
      <xdr:colOff>1905000</xdr:colOff>
      <xdr:row>92</xdr:row>
      <xdr:rowOff>304800</xdr:rowOff>
    </xdr:to>
    <xdr:grpSp>
      <xdr:nvGrpSpPr>
        <xdr:cNvPr id="2660" name="Group 3092"/>
        <xdr:cNvGrpSpPr>
          <a:grpSpLocks/>
        </xdr:cNvGrpSpPr>
      </xdr:nvGrpSpPr>
      <xdr:grpSpPr bwMode="auto">
        <a:xfrm>
          <a:off x="6115050" y="30518100"/>
          <a:ext cx="1857375" cy="285750"/>
          <a:chOff x="606" y="2035"/>
          <a:chExt cx="195" cy="30"/>
        </a:xfrm>
      </xdr:grpSpPr>
      <xdr:sp macro="" textlink="I61">
        <xdr:nvSpPr>
          <xdr:cNvPr id="2661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A79782B-C879-4FEF-BC49-D1CE65B34CE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1000</a:t>
            </a:fld>
            <a:endParaRPr lang="en-US"/>
          </a:p>
        </xdr:txBody>
      </xdr:sp>
      <xdr:sp macro="" textlink="J61">
        <xdr:nvSpPr>
          <xdr:cNvPr id="2662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CCBBCFD-2E59-4293-A479-2D188986905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61">
        <xdr:nvSpPr>
          <xdr:cNvPr id="2663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6F34C57-967F-49BB-BCEF-6F7B3136A7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2664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61">
        <xdr:nvSpPr>
          <xdr:cNvPr id="2665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6F22674-C5AF-443E-92CC-3647B868706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666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95</xdr:row>
      <xdr:rowOff>28575</xdr:rowOff>
    </xdr:from>
    <xdr:to>
      <xdr:col>18</xdr:col>
      <xdr:colOff>1724025</xdr:colOff>
      <xdr:row>95</xdr:row>
      <xdr:rowOff>295275</xdr:rowOff>
    </xdr:to>
    <xdr:grpSp>
      <xdr:nvGrpSpPr>
        <xdr:cNvPr id="2701" name="Group 3050"/>
        <xdr:cNvGrpSpPr>
          <a:grpSpLocks/>
        </xdr:cNvGrpSpPr>
      </xdr:nvGrpSpPr>
      <xdr:grpSpPr bwMode="auto">
        <a:xfrm>
          <a:off x="6124575" y="31527750"/>
          <a:ext cx="1666875" cy="266700"/>
          <a:chOff x="589" y="376"/>
          <a:chExt cx="175" cy="28"/>
        </a:xfrm>
      </xdr:grpSpPr>
      <xdr:sp macro="" textlink="I96">
        <xdr:nvSpPr>
          <xdr:cNvPr id="2702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C1BFF61-0C68-444C-8A6E-4C4CAF251A0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96">
        <xdr:nvSpPr>
          <xdr:cNvPr id="2703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8356453-4215-4582-823C-AC4AB561CD3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96">
        <xdr:nvSpPr>
          <xdr:cNvPr id="2704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D9D2561-4DBB-46D9-9EDC-AF88FFEB7F7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705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706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94</xdr:row>
      <xdr:rowOff>47625</xdr:rowOff>
    </xdr:from>
    <xdr:to>
      <xdr:col>18</xdr:col>
      <xdr:colOff>1933575</xdr:colOff>
      <xdr:row>94</xdr:row>
      <xdr:rowOff>285750</xdr:rowOff>
    </xdr:to>
    <xdr:grpSp>
      <xdr:nvGrpSpPr>
        <xdr:cNvPr id="2707" name="Group 3094"/>
        <xdr:cNvGrpSpPr>
          <a:grpSpLocks/>
        </xdr:cNvGrpSpPr>
      </xdr:nvGrpSpPr>
      <xdr:grpSpPr bwMode="auto">
        <a:xfrm>
          <a:off x="6124575" y="31213425"/>
          <a:ext cx="1876425" cy="238125"/>
          <a:chOff x="626" y="613"/>
          <a:chExt cx="197" cy="25"/>
        </a:xfrm>
      </xdr:grpSpPr>
      <xdr:sp macro="" textlink="I95">
        <xdr:nvSpPr>
          <xdr:cNvPr id="270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8D1B717-9967-4CD0-AA42-92ED6574B27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95">
        <xdr:nvSpPr>
          <xdr:cNvPr id="2709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8E5A103-6A8E-45DE-8CCB-25D4C56540D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95">
        <xdr:nvSpPr>
          <xdr:cNvPr id="2710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0537DEC-6663-4A59-A188-37ACF2AE02E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95">
        <xdr:nvSpPr>
          <xdr:cNvPr id="2711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FD5F6BA4-2476-4F7F-8716-9399124F379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95">
        <xdr:nvSpPr>
          <xdr:cNvPr id="271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75004C3-B69F-4525-BF49-31B4E0234F0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71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71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93</xdr:row>
      <xdr:rowOff>47625</xdr:rowOff>
    </xdr:from>
    <xdr:to>
      <xdr:col>18</xdr:col>
      <xdr:colOff>1933575</xdr:colOff>
      <xdr:row>93</xdr:row>
      <xdr:rowOff>285750</xdr:rowOff>
    </xdr:to>
    <xdr:grpSp>
      <xdr:nvGrpSpPr>
        <xdr:cNvPr id="2715" name="Group 3094"/>
        <xdr:cNvGrpSpPr>
          <a:grpSpLocks/>
        </xdr:cNvGrpSpPr>
      </xdr:nvGrpSpPr>
      <xdr:grpSpPr bwMode="auto">
        <a:xfrm>
          <a:off x="6124575" y="30880050"/>
          <a:ext cx="1876425" cy="238125"/>
          <a:chOff x="626" y="613"/>
          <a:chExt cx="197" cy="25"/>
        </a:xfrm>
      </xdr:grpSpPr>
      <xdr:sp macro="" textlink="I94">
        <xdr:nvSpPr>
          <xdr:cNvPr id="2716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E30C133-33B7-4C3C-BA57-EF03A60BBAB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94">
        <xdr:nvSpPr>
          <xdr:cNvPr id="2717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7B9BBB8-D204-426D-9D09-213C33B3E82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94">
        <xdr:nvSpPr>
          <xdr:cNvPr id="2718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F9D69E2-BB06-488B-8D26-004316B7D53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L94">
        <xdr:nvSpPr>
          <xdr:cNvPr id="2719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3D0ACC3-F8E4-46D0-83E0-31ED2F3E08E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94">
        <xdr:nvSpPr>
          <xdr:cNvPr id="2720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5B4CC40-8F73-49DC-952C-8DC68EED5EF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721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722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96</xdr:row>
      <xdr:rowOff>19050</xdr:rowOff>
    </xdr:from>
    <xdr:to>
      <xdr:col>18</xdr:col>
      <xdr:colOff>1905000</xdr:colOff>
      <xdr:row>96</xdr:row>
      <xdr:rowOff>304800</xdr:rowOff>
    </xdr:to>
    <xdr:grpSp>
      <xdr:nvGrpSpPr>
        <xdr:cNvPr id="2752" name="Group 3092"/>
        <xdr:cNvGrpSpPr>
          <a:grpSpLocks/>
        </xdr:cNvGrpSpPr>
      </xdr:nvGrpSpPr>
      <xdr:grpSpPr bwMode="auto">
        <a:xfrm>
          <a:off x="6115050" y="31851600"/>
          <a:ext cx="1857375" cy="285750"/>
          <a:chOff x="606" y="2035"/>
          <a:chExt cx="195" cy="30"/>
        </a:xfrm>
      </xdr:grpSpPr>
      <xdr:sp macro="" textlink="I61">
        <xdr:nvSpPr>
          <xdr:cNvPr id="2753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A79782B-C879-4FEF-BC49-D1CE65B34CE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1000</a:t>
            </a:fld>
            <a:endParaRPr lang="en-US"/>
          </a:p>
        </xdr:txBody>
      </xdr:sp>
      <xdr:sp macro="" textlink="J61">
        <xdr:nvSpPr>
          <xdr:cNvPr id="2754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CCBBCFD-2E59-4293-A479-2D188986905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61">
        <xdr:nvSpPr>
          <xdr:cNvPr id="2755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6F34C57-967F-49BB-BCEF-6F7B3136A7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2756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61">
        <xdr:nvSpPr>
          <xdr:cNvPr id="2757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6F22674-C5AF-443E-92CC-3647B868706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758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98</xdr:row>
      <xdr:rowOff>47625</xdr:rowOff>
    </xdr:from>
    <xdr:to>
      <xdr:col>18</xdr:col>
      <xdr:colOff>1933575</xdr:colOff>
      <xdr:row>98</xdr:row>
      <xdr:rowOff>285750</xdr:rowOff>
    </xdr:to>
    <xdr:grpSp>
      <xdr:nvGrpSpPr>
        <xdr:cNvPr id="2765" name="Group 3094"/>
        <xdr:cNvGrpSpPr>
          <a:grpSpLocks/>
        </xdr:cNvGrpSpPr>
      </xdr:nvGrpSpPr>
      <xdr:grpSpPr bwMode="auto">
        <a:xfrm>
          <a:off x="6124575" y="32546925"/>
          <a:ext cx="1876425" cy="238125"/>
          <a:chOff x="626" y="613"/>
          <a:chExt cx="197" cy="25"/>
        </a:xfrm>
      </xdr:grpSpPr>
      <xdr:sp macro="" textlink="I95">
        <xdr:nvSpPr>
          <xdr:cNvPr id="2766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8D1B717-9967-4CD0-AA42-92ED6574B27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95">
        <xdr:nvSpPr>
          <xdr:cNvPr id="2767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8E5A103-6A8E-45DE-8CCB-25D4C56540D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95">
        <xdr:nvSpPr>
          <xdr:cNvPr id="2768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0537DEC-6663-4A59-A188-37ACF2AE02E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95">
        <xdr:nvSpPr>
          <xdr:cNvPr id="2769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FD5F6BA4-2476-4F7F-8716-9399124F379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95">
        <xdr:nvSpPr>
          <xdr:cNvPr id="2770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75004C3-B69F-4525-BF49-31B4E0234F0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771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772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97</xdr:row>
      <xdr:rowOff>47625</xdr:rowOff>
    </xdr:from>
    <xdr:to>
      <xdr:col>18</xdr:col>
      <xdr:colOff>1933575</xdr:colOff>
      <xdr:row>97</xdr:row>
      <xdr:rowOff>285750</xdr:rowOff>
    </xdr:to>
    <xdr:grpSp>
      <xdr:nvGrpSpPr>
        <xdr:cNvPr id="2773" name="Group 3094"/>
        <xdr:cNvGrpSpPr>
          <a:grpSpLocks/>
        </xdr:cNvGrpSpPr>
      </xdr:nvGrpSpPr>
      <xdr:grpSpPr bwMode="auto">
        <a:xfrm>
          <a:off x="6124575" y="32213550"/>
          <a:ext cx="1876425" cy="238125"/>
          <a:chOff x="626" y="613"/>
          <a:chExt cx="197" cy="25"/>
        </a:xfrm>
      </xdr:grpSpPr>
      <xdr:sp macro="" textlink="I94">
        <xdr:nvSpPr>
          <xdr:cNvPr id="2774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E30C133-33B7-4C3C-BA57-EF03A60BBAB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94">
        <xdr:nvSpPr>
          <xdr:cNvPr id="2775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7B9BBB8-D204-426D-9D09-213C33B3E82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94">
        <xdr:nvSpPr>
          <xdr:cNvPr id="2776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F9D69E2-BB06-488B-8D26-004316B7D53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L94">
        <xdr:nvSpPr>
          <xdr:cNvPr id="2777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3D0ACC3-F8E4-46D0-83E0-31ED2F3E08E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94">
        <xdr:nvSpPr>
          <xdr:cNvPr id="2778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5B4CC40-8F73-49DC-952C-8DC68EED5EF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779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780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99</xdr:row>
      <xdr:rowOff>28575</xdr:rowOff>
    </xdr:from>
    <xdr:to>
      <xdr:col>18</xdr:col>
      <xdr:colOff>1724025</xdr:colOff>
      <xdr:row>99</xdr:row>
      <xdr:rowOff>295275</xdr:rowOff>
    </xdr:to>
    <xdr:grpSp>
      <xdr:nvGrpSpPr>
        <xdr:cNvPr id="2787" name="Group 3050"/>
        <xdr:cNvGrpSpPr>
          <a:grpSpLocks/>
        </xdr:cNvGrpSpPr>
      </xdr:nvGrpSpPr>
      <xdr:grpSpPr bwMode="auto">
        <a:xfrm>
          <a:off x="6124575" y="32861250"/>
          <a:ext cx="1666875" cy="266700"/>
          <a:chOff x="589" y="376"/>
          <a:chExt cx="175" cy="28"/>
        </a:xfrm>
      </xdr:grpSpPr>
      <xdr:sp macro="" textlink="I100">
        <xdr:nvSpPr>
          <xdr:cNvPr id="2788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3E86CFA-9C61-4049-80DC-504D8A8CE33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100">
        <xdr:nvSpPr>
          <xdr:cNvPr id="2789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DEFAEAB-E216-464E-8DD9-85A8B8199EB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100">
        <xdr:nvSpPr>
          <xdr:cNvPr id="2790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9C3AF86-3B25-4C32-BFD4-578F340AFD3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791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792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100</xdr:row>
      <xdr:rowOff>28575</xdr:rowOff>
    </xdr:from>
    <xdr:to>
      <xdr:col>18</xdr:col>
      <xdr:colOff>1724025</xdr:colOff>
      <xdr:row>100</xdr:row>
      <xdr:rowOff>295275</xdr:rowOff>
    </xdr:to>
    <xdr:grpSp>
      <xdr:nvGrpSpPr>
        <xdr:cNvPr id="2793" name="Group 3050"/>
        <xdr:cNvGrpSpPr>
          <a:grpSpLocks/>
        </xdr:cNvGrpSpPr>
      </xdr:nvGrpSpPr>
      <xdr:grpSpPr bwMode="auto">
        <a:xfrm>
          <a:off x="6124575" y="33194625"/>
          <a:ext cx="1666875" cy="266700"/>
          <a:chOff x="589" y="376"/>
          <a:chExt cx="175" cy="28"/>
        </a:xfrm>
      </xdr:grpSpPr>
      <xdr:sp macro="" textlink="I101">
        <xdr:nvSpPr>
          <xdr:cNvPr id="2794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6BFF71C-AFED-4000-AE1E-713CC05C72D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101">
        <xdr:nvSpPr>
          <xdr:cNvPr id="2795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CB33A71-F842-4EAD-B653-E34911AE50F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101">
        <xdr:nvSpPr>
          <xdr:cNvPr id="2796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508E54E-F8CF-4CFF-81CD-DA485AFD1E9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797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798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101</xdr:row>
      <xdr:rowOff>19050</xdr:rowOff>
    </xdr:from>
    <xdr:to>
      <xdr:col>18</xdr:col>
      <xdr:colOff>1905000</xdr:colOff>
      <xdr:row>101</xdr:row>
      <xdr:rowOff>304800</xdr:rowOff>
    </xdr:to>
    <xdr:grpSp>
      <xdr:nvGrpSpPr>
        <xdr:cNvPr id="2834" name="Group 3092"/>
        <xdr:cNvGrpSpPr>
          <a:grpSpLocks/>
        </xdr:cNvGrpSpPr>
      </xdr:nvGrpSpPr>
      <xdr:grpSpPr bwMode="auto">
        <a:xfrm>
          <a:off x="6115050" y="33518475"/>
          <a:ext cx="1857375" cy="285750"/>
          <a:chOff x="606" y="2035"/>
          <a:chExt cx="195" cy="30"/>
        </a:xfrm>
      </xdr:grpSpPr>
      <xdr:sp macro="" textlink="I61">
        <xdr:nvSpPr>
          <xdr:cNvPr id="2835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A79782B-C879-4FEF-BC49-D1CE65B34CE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1000</a:t>
            </a:fld>
            <a:endParaRPr lang="en-US"/>
          </a:p>
        </xdr:txBody>
      </xdr:sp>
      <xdr:sp macro="" textlink="J61">
        <xdr:nvSpPr>
          <xdr:cNvPr id="2836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CCBBCFD-2E59-4293-A479-2D188986905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61">
        <xdr:nvSpPr>
          <xdr:cNvPr id="2837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6F34C57-967F-49BB-BCEF-6F7B3136A7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2838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61">
        <xdr:nvSpPr>
          <xdr:cNvPr id="2839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6F22674-C5AF-443E-92CC-3647B868706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840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104</xdr:row>
      <xdr:rowOff>28575</xdr:rowOff>
    </xdr:from>
    <xdr:to>
      <xdr:col>18</xdr:col>
      <xdr:colOff>1724025</xdr:colOff>
      <xdr:row>104</xdr:row>
      <xdr:rowOff>295275</xdr:rowOff>
    </xdr:to>
    <xdr:grpSp>
      <xdr:nvGrpSpPr>
        <xdr:cNvPr id="2869" name="Group 3050"/>
        <xdr:cNvGrpSpPr>
          <a:grpSpLocks/>
        </xdr:cNvGrpSpPr>
      </xdr:nvGrpSpPr>
      <xdr:grpSpPr bwMode="auto">
        <a:xfrm>
          <a:off x="6124575" y="35052000"/>
          <a:ext cx="1666875" cy="266700"/>
          <a:chOff x="589" y="376"/>
          <a:chExt cx="175" cy="28"/>
        </a:xfrm>
      </xdr:grpSpPr>
      <xdr:sp macro="" textlink="I105">
        <xdr:nvSpPr>
          <xdr:cNvPr id="2870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7C230CC-2A55-4D9B-8EC1-1C3561EF7EA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105">
        <xdr:nvSpPr>
          <xdr:cNvPr id="2871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CE4E23FE-6B0F-4599-8B94-BEEFEACB80C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175</a:t>
            </a:fld>
            <a:endParaRPr lang="en-US"/>
          </a:p>
        </xdr:txBody>
      </xdr:sp>
      <xdr:sp macro="" textlink="K105">
        <xdr:nvSpPr>
          <xdr:cNvPr id="2872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50AEF52-8A60-4474-B150-ACACD0AC1B6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873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874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103</xdr:row>
      <xdr:rowOff>47625</xdr:rowOff>
    </xdr:from>
    <xdr:to>
      <xdr:col>18</xdr:col>
      <xdr:colOff>1933575</xdr:colOff>
      <xdr:row>103</xdr:row>
      <xdr:rowOff>285750</xdr:rowOff>
    </xdr:to>
    <xdr:grpSp>
      <xdr:nvGrpSpPr>
        <xdr:cNvPr id="2875" name="Group 3094"/>
        <xdr:cNvGrpSpPr>
          <a:grpSpLocks/>
        </xdr:cNvGrpSpPr>
      </xdr:nvGrpSpPr>
      <xdr:grpSpPr bwMode="auto">
        <a:xfrm>
          <a:off x="6124575" y="34375725"/>
          <a:ext cx="1876425" cy="238125"/>
          <a:chOff x="626" y="613"/>
          <a:chExt cx="197" cy="25"/>
        </a:xfrm>
      </xdr:grpSpPr>
      <xdr:sp macro="" textlink="I104">
        <xdr:nvSpPr>
          <xdr:cNvPr id="2876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261A6B3-B213-4A24-86B6-13991E44653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104">
        <xdr:nvSpPr>
          <xdr:cNvPr id="2877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D530975-05AE-4D27-8DFF-D7A9399751A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104">
        <xdr:nvSpPr>
          <xdr:cNvPr id="2878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F271399-CD43-4898-B210-E3547020716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</a:t>
            </a:fld>
            <a:endParaRPr lang="en-US"/>
          </a:p>
        </xdr:txBody>
      </xdr:sp>
      <xdr:sp macro="" textlink="L104">
        <xdr:nvSpPr>
          <xdr:cNvPr id="2879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EC91BA9-74AF-4420-981A-0E398E16C14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104">
        <xdr:nvSpPr>
          <xdr:cNvPr id="2880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DA36584-E4C6-41B3-8480-9E52A1C0445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881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882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102</xdr:row>
      <xdr:rowOff>47625</xdr:rowOff>
    </xdr:from>
    <xdr:to>
      <xdr:col>18</xdr:col>
      <xdr:colOff>1933575</xdr:colOff>
      <xdr:row>102</xdr:row>
      <xdr:rowOff>285750</xdr:rowOff>
    </xdr:to>
    <xdr:grpSp>
      <xdr:nvGrpSpPr>
        <xdr:cNvPr id="2883" name="Group 3094"/>
        <xdr:cNvGrpSpPr>
          <a:grpSpLocks/>
        </xdr:cNvGrpSpPr>
      </xdr:nvGrpSpPr>
      <xdr:grpSpPr bwMode="auto">
        <a:xfrm>
          <a:off x="6124575" y="33880425"/>
          <a:ext cx="1876425" cy="238125"/>
          <a:chOff x="626" y="613"/>
          <a:chExt cx="197" cy="25"/>
        </a:xfrm>
      </xdr:grpSpPr>
      <xdr:sp macro="" textlink="I103">
        <xdr:nvSpPr>
          <xdr:cNvPr id="2884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DBA2200-E6DB-46D8-8614-5B8A47B6FAD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3375</a:t>
            </a:fld>
            <a:endParaRPr lang="en-US"/>
          </a:p>
        </xdr:txBody>
      </xdr:sp>
      <xdr:sp macro="" textlink="J103">
        <xdr:nvSpPr>
          <xdr:cNvPr id="2885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0D86250-8B3B-42FB-B8EA-E7B3BB151FD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103">
        <xdr:nvSpPr>
          <xdr:cNvPr id="2886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E4E7C8F-F267-4DBA-AD35-5C98781306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  <xdr:sp macro="" textlink="L103">
        <xdr:nvSpPr>
          <xdr:cNvPr id="2887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F5D5729-D271-4F3E-8D0E-AE6A5B413E0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103">
        <xdr:nvSpPr>
          <xdr:cNvPr id="2888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774076C-51A2-40A5-BDB5-67796BF0AE2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889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890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107</xdr:row>
      <xdr:rowOff>38100</xdr:rowOff>
    </xdr:from>
    <xdr:to>
      <xdr:col>18</xdr:col>
      <xdr:colOff>1600200</xdr:colOff>
      <xdr:row>107</xdr:row>
      <xdr:rowOff>666750</xdr:rowOff>
    </xdr:to>
    <xdr:grpSp>
      <xdr:nvGrpSpPr>
        <xdr:cNvPr id="2891" name="Group 3079"/>
        <xdr:cNvGrpSpPr>
          <a:grpSpLocks/>
        </xdr:cNvGrpSpPr>
      </xdr:nvGrpSpPr>
      <xdr:grpSpPr bwMode="auto">
        <a:xfrm>
          <a:off x="6124575" y="36423600"/>
          <a:ext cx="1543050" cy="628650"/>
          <a:chOff x="607" y="297"/>
          <a:chExt cx="162" cy="66"/>
        </a:xfrm>
      </xdr:grpSpPr>
      <xdr:sp macro="" textlink="I108">
        <xdr:nvSpPr>
          <xdr:cNvPr id="2892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1131C5D-490C-4482-9267-7BBBC405331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4900</a:t>
            </a:fld>
            <a:endParaRPr lang="en-US"/>
          </a:p>
        </xdr:txBody>
      </xdr:sp>
      <xdr:sp macro="" textlink="J108">
        <xdr:nvSpPr>
          <xdr:cNvPr id="2893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32EF106-1C4E-4891-AECA-0003FFF1453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08">
        <xdr:nvSpPr>
          <xdr:cNvPr id="2894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CD647F5-A5DD-42E2-B8A0-6BC92D1EDA1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2895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896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97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98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108</xdr:row>
      <xdr:rowOff>76200</xdr:rowOff>
    </xdr:from>
    <xdr:to>
      <xdr:col>18</xdr:col>
      <xdr:colOff>1400175</xdr:colOff>
      <xdr:row>108</xdr:row>
      <xdr:rowOff>257175</xdr:rowOff>
    </xdr:to>
    <xdr:grpSp>
      <xdr:nvGrpSpPr>
        <xdr:cNvPr id="2902" name="Group 1"/>
        <xdr:cNvGrpSpPr>
          <a:grpSpLocks/>
        </xdr:cNvGrpSpPr>
      </xdr:nvGrpSpPr>
      <xdr:grpSpPr bwMode="auto">
        <a:xfrm>
          <a:off x="6591300" y="37242750"/>
          <a:ext cx="876300" cy="180975"/>
          <a:chOff x="594" y="27"/>
          <a:chExt cx="92" cy="19"/>
        </a:xfrm>
      </xdr:grpSpPr>
      <xdr:sp macro="" textlink="">
        <xdr:nvSpPr>
          <xdr:cNvPr id="2903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09">
        <xdr:nvSpPr>
          <xdr:cNvPr id="2904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F4C456A-FC3E-44B0-956D-455BF65B7BA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3600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109</xdr:row>
      <xdr:rowOff>38100</xdr:rowOff>
    </xdr:from>
    <xdr:to>
      <xdr:col>18</xdr:col>
      <xdr:colOff>1600200</xdr:colOff>
      <xdr:row>109</xdr:row>
      <xdr:rowOff>666750</xdr:rowOff>
    </xdr:to>
    <xdr:grpSp>
      <xdr:nvGrpSpPr>
        <xdr:cNvPr id="2905" name="Group 3079"/>
        <xdr:cNvGrpSpPr>
          <a:grpSpLocks/>
        </xdr:cNvGrpSpPr>
      </xdr:nvGrpSpPr>
      <xdr:grpSpPr bwMode="auto">
        <a:xfrm>
          <a:off x="6124575" y="37538025"/>
          <a:ext cx="1543050" cy="295275"/>
          <a:chOff x="607" y="297"/>
          <a:chExt cx="162" cy="66"/>
        </a:xfrm>
      </xdr:grpSpPr>
      <xdr:sp macro="" textlink="I110">
        <xdr:nvSpPr>
          <xdr:cNvPr id="2906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AC9B0D5-E7B5-49BC-A497-CFCA70C0E29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2513</a:t>
            </a:fld>
            <a:endParaRPr lang="en-US"/>
          </a:p>
        </xdr:txBody>
      </xdr:sp>
      <xdr:sp macro="" textlink="J110">
        <xdr:nvSpPr>
          <xdr:cNvPr id="2907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52E9348-337B-4679-8981-96EBD8B015D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10">
        <xdr:nvSpPr>
          <xdr:cNvPr id="2908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8D7AE89-EC5A-4A34-ACEB-EA07A932FFC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2909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910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11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12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110</xdr:row>
      <xdr:rowOff>76200</xdr:rowOff>
    </xdr:from>
    <xdr:to>
      <xdr:col>18</xdr:col>
      <xdr:colOff>1400175</xdr:colOff>
      <xdr:row>110</xdr:row>
      <xdr:rowOff>257175</xdr:rowOff>
    </xdr:to>
    <xdr:grpSp>
      <xdr:nvGrpSpPr>
        <xdr:cNvPr id="2916" name="Group 1"/>
        <xdr:cNvGrpSpPr>
          <a:grpSpLocks/>
        </xdr:cNvGrpSpPr>
      </xdr:nvGrpSpPr>
      <xdr:grpSpPr bwMode="auto">
        <a:xfrm>
          <a:off x="6591300" y="37909500"/>
          <a:ext cx="876300" cy="180975"/>
          <a:chOff x="594" y="27"/>
          <a:chExt cx="92" cy="19"/>
        </a:xfrm>
      </xdr:grpSpPr>
      <xdr:sp macro="" textlink="">
        <xdr:nvSpPr>
          <xdr:cNvPr id="2917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11">
        <xdr:nvSpPr>
          <xdr:cNvPr id="2918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6904CA3-076B-41C9-A77C-C0F731D8B92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111</xdr:row>
      <xdr:rowOff>57150</xdr:rowOff>
    </xdr:from>
    <xdr:to>
      <xdr:col>18</xdr:col>
      <xdr:colOff>1600200</xdr:colOff>
      <xdr:row>111</xdr:row>
      <xdr:rowOff>723900</xdr:rowOff>
    </xdr:to>
    <xdr:grpSp>
      <xdr:nvGrpSpPr>
        <xdr:cNvPr id="2919" name="Group 2870"/>
        <xdr:cNvGrpSpPr>
          <a:grpSpLocks/>
        </xdr:cNvGrpSpPr>
      </xdr:nvGrpSpPr>
      <xdr:grpSpPr bwMode="auto">
        <a:xfrm>
          <a:off x="6124575" y="38585775"/>
          <a:ext cx="1543050" cy="638175"/>
          <a:chOff x="532" y="1873"/>
          <a:chExt cx="162" cy="70"/>
        </a:xfrm>
      </xdr:grpSpPr>
      <xdr:sp macro="" textlink="I112">
        <xdr:nvSpPr>
          <xdr:cNvPr id="2920" name="Text Box 2871"/>
          <xdr:cNvSpPr txBox="1">
            <a:spLocks noChangeArrowheads="1" noTextEdit="1"/>
          </xdr:cNvSpPr>
        </xdr:nvSpPr>
        <xdr:spPr bwMode="auto">
          <a:xfrm>
            <a:off x="562" y="19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332740C-F84A-4A47-83C0-F2BECE3F8F0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  <xdr:sp macro="" textlink="J112">
        <xdr:nvSpPr>
          <xdr:cNvPr id="2921" name="Text Box 2872"/>
          <xdr:cNvSpPr txBox="1">
            <a:spLocks noChangeArrowheads="1" noTextEdit="1"/>
          </xdr:cNvSpPr>
        </xdr:nvSpPr>
        <xdr:spPr bwMode="auto">
          <a:xfrm>
            <a:off x="645" y="19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2A79544-040D-4C9F-B2D4-825454BFA2D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12">
        <xdr:nvSpPr>
          <xdr:cNvPr id="2922" name="Text Box 2873"/>
          <xdr:cNvSpPr txBox="1">
            <a:spLocks noChangeArrowheads="1" noTextEdit="1"/>
          </xdr:cNvSpPr>
        </xdr:nvSpPr>
        <xdr:spPr bwMode="auto">
          <a:xfrm>
            <a:off x="532" y="187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068299C-21C1-4354-A073-5C27A042407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L112">
        <xdr:nvSpPr>
          <xdr:cNvPr id="2923" name="Text Box 2874"/>
          <xdr:cNvSpPr txBox="1">
            <a:spLocks noChangeArrowheads="1" noTextEdit="1"/>
          </xdr:cNvSpPr>
        </xdr:nvSpPr>
        <xdr:spPr bwMode="auto">
          <a:xfrm>
            <a:off x="596" y="187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E5BAA62-C382-4B95-B552-A877270CC03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2924" name="Freeform 2875"/>
          <xdr:cNvSpPr>
            <a:spLocks/>
          </xdr:cNvSpPr>
        </xdr:nvSpPr>
        <xdr:spPr bwMode="auto">
          <a:xfrm>
            <a:off x="536" y="1896"/>
            <a:ext cx="100" cy="28"/>
          </a:xfrm>
          <a:custGeom>
            <a:avLst/>
            <a:gdLst>
              <a:gd name="T0" fmla="*/ 35 w 100"/>
              <a:gd name="T1" fmla="*/ 2 h 28"/>
              <a:gd name="T2" fmla="*/ 14 w 100"/>
              <a:gd name="T3" fmla="*/ 2 h 28"/>
              <a:gd name="T4" fmla="*/ 0 w 100"/>
              <a:gd name="T5" fmla="*/ 14 h 28"/>
              <a:gd name="T6" fmla="*/ 14 w 100"/>
              <a:gd name="T7" fmla="*/ 28 h 28"/>
              <a:gd name="T8" fmla="*/ 85 w 100"/>
              <a:gd name="T9" fmla="*/ 28 h 28"/>
              <a:gd name="T10" fmla="*/ 100 w 100"/>
              <a:gd name="T11" fmla="*/ 14 h 28"/>
              <a:gd name="T12" fmla="*/ 86 w 100"/>
              <a:gd name="T13" fmla="*/ 1 h 28"/>
              <a:gd name="T14" fmla="*/ 64 w 100"/>
              <a:gd name="T15" fmla="*/ 1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00" h="28">
                <a:moveTo>
                  <a:pt x="35" y="2"/>
                </a:moveTo>
                <a:lnTo>
                  <a:pt x="14" y="2"/>
                </a:lnTo>
                <a:cubicBezTo>
                  <a:pt x="14" y="2"/>
                  <a:pt x="1" y="2"/>
                  <a:pt x="0" y="14"/>
                </a:cubicBezTo>
                <a:cubicBezTo>
                  <a:pt x="0" y="27"/>
                  <a:pt x="14" y="28"/>
                  <a:pt x="14" y="28"/>
                </a:cubicBezTo>
                <a:lnTo>
                  <a:pt x="85" y="28"/>
                </a:lnTo>
                <a:cubicBezTo>
                  <a:pt x="85" y="28"/>
                  <a:pt x="100" y="28"/>
                  <a:pt x="100" y="14"/>
                </a:cubicBezTo>
                <a:cubicBezTo>
                  <a:pt x="100" y="0"/>
                  <a:pt x="86" y="1"/>
                  <a:pt x="86" y="1"/>
                </a:cubicBezTo>
                <a:lnTo>
                  <a:pt x="64" y="1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925" name="Freeform 2876"/>
          <xdr:cNvSpPr>
            <a:spLocks/>
          </xdr:cNvSpPr>
        </xdr:nvSpPr>
        <xdr:spPr bwMode="auto">
          <a:xfrm>
            <a:off x="535" y="1890"/>
            <a:ext cx="36" cy="12"/>
          </a:xfrm>
          <a:custGeom>
            <a:avLst/>
            <a:gdLst>
              <a:gd name="T0" fmla="*/ 35 w 35"/>
              <a:gd name="T1" fmla="*/ 0 h 14"/>
              <a:gd name="T2" fmla="*/ 35 w 35"/>
              <a:gd name="T3" fmla="*/ 6 h 14"/>
              <a:gd name="T4" fmla="*/ 35 w 35"/>
              <a:gd name="T5" fmla="*/ 0 h 14"/>
              <a:gd name="T6" fmla="*/ 0 w 35"/>
              <a:gd name="T7" fmla="*/ 0 h 14"/>
              <a:gd name="T8" fmla="*/ 0 w 35"/>
              <a:gd name="T9" fmla="*/ 14 h 14"/>
              <a:gd name="T10" fmla="*/ 0 w 35"/>
              <a:gd name="T11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5" h="14">
                <a:moveTo>
                  <a:pt x="35" y="0"/>
                </a:moveTo>
                <a:lnTo>
                  <a:pt x="35" y="6"/>
                </a:lnTo>
                <a:lnTo>
                  <a:pt x="35" y="0"/>
                </a:lnTo>
                <a:lnTo>
                  <a:pt x="0" y="0"/>
                </a:lnTo>
                <a:lnTo>
                  <a:pt x="0" y="14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26" name="Freeform 2877"/>
          <xdr:cNvSpPr>
            <a:spLocks/>
          </xdr:cNvSpPr>
        </xdr:nvSpPr>
        <xdr:spPr bwMode="auto">
          <a:xfrm>
            <a:off x="600" y="1889"/>
            <a:ext cx="36" cy="13"/>
          </a:xfrm>
          <a:custGeom>
            <a:avLst/>
            <a:gdLst>
              <a:gd name="T0" fmla="*/ 37 w 37"/>
              <a:gd name="T1" fmla="*/ 0 h 14"/>
              <a:gd name="T2" fmla="*/ 37 w 37"/>
              <a:gd name="T3" fmla="*/ 14 h 14"/>
              <a:gd name="T4" fmla="*/ 37 w 37"/>
              <a:gd name="T5" fmla="*/ 0 h 14"/>
              <a:gd name="T6" fmla="*/ 0 w 37"/>
              <a:gd name="T7" fmla="*/ 0 h 14"/>
              <a:gd name="T8" fmla="*/ 0 w 37"/>
              <a:gd name="T9" fmla="*/ 6 h 14"/>
              <a:gd name="T10" fmla="*/ 0 w 37"/>
              <a:gd name="T11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7" h="14">
                <a:moveTo>
                  <a:pt x="37" y="0"/>
                </a:moveTo>
                <a:lnTo>
                  <a:pt x="37" y="14"/>
                </a:lnTo>
                <a:lnTo>
                  <a:pt x="37" y="0"/>
                </a:lnTo>
                <a:lnTo>
                  <a:pt x="0" y="0"/>
                </a:lnTo>
                <a:lnTo>
                  <a:pt x="0" y="6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27" name="Freeform 2878"/>
          <xdr:cNvSpPr>
            <a:spLocks/>
          </xdr:cNvSpPr>
        </xdr:nvSpPr>
        <xdr:spPr bwMode="auto">
          <a:xfrm rot="16200000">
            <a:off x="625" y="1905"/>
            <a:ext cx="26" cy="9"/>
          </a:xfrm>
          <a:custGeom>
            <a:avLst/>
            <a:gdLst>
              <a:gd name="T0" fmla="*/ 0 w 41"/>
              <a:gd name="T1" fmla="*/ 9 h 9"/>
              <a:gd name="T2" fmla="*/ 0 w 41"/>
              <a:gd name="T3" fmla="*/ 0 h 9"/>
              <a:gd name="T4" fmla="*/ 0 w 41"/>
              <a:gd name="T5" fmla="*/ 9 h 9"/>
              <a:gd name="T6" fmla="*/ 41 w 41"/>
              <a:gd name="T7" fmla="*/ 9 h 9"/>
              <a:gd name="T8" fmla="*/ 41 w 41"/>
              <a:gd name="T9" fmla="*/ 0 h 9"/>
              <a:gd name="T10" fmla="*/ 41 w 41"/>
              <a:gd name="T11" fmla="*/ 9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0" y="9"/>
                </a:moveTo>
                <a:lnTo>
                  <a:pt x="0" y="0"/>
                </a:lnTo>
                <a:lnTo>
                  <a:pt x="0" y="9"/>
                </a:lnTo>
                <a:lnTo>
                  <a:pt x="41" y="9"/>
                </a:lnTo>
                <a:lnTo>
                  <a:pt x="41" y="0"/>
                </a:lnTo>
                <a:lnTo>
                  <a:pt x="41" y="9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28" name="Freeform 2879"/>
          <xdr:cNvSpPr>
            <a:spLocks/>
          </xdr:cNvSpPr>
        </xdr:nvSpPr>
        <xdr:spPr bwMode="auto">
          <a:xfrm>
            <a:off x="536" y="1921"/>
            <a:ext cx="99" cy="20"/>
          </a:xfrm>
          <a:custGeom>
            <a:avLst/>
            <a:gdLst>
              <a:gd name="T0" fmla="*/ 0 w 41"/>
              <a:gd name="T1" fmla="*/ 9 h 9"/>
              <a:gd name="T2" fmla="*/ 0 w 41"/>
              <a:gd name="T3" fmla="*/ 0 h 9"/>
              <a:gd name="T4" fmla="*/ 0 w 41"/>
              <a:gd name="T5" fmla="*/ 9 h 9"/>
              <a:gd name="T6" fmla="*/ 41 w 41"/>
              <a:gd name="T7" fmla="*/ 9 h 9"/>
              <a:gd name="T8" fmla="*/ 41 w 41"/>
              <a:gd name="T9" fmla="*/ 0 h 9"/>
              <a:gd name="T10" fmla="*/ 41 w 41"/>
              <a:gd name="T11" fmla="*/ 9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0" y="9"/>
                </a:moveTo>
                <a:lnTo>
                  <a:pt x="0" y="0"/>
                </a:lnTo>
                <a:lnTo>
                  <a:pt x="0" y="9"/>
                </a:lnTo>
                <a:lnTo>
                  <a:pt x="41" y="9"/>
                </a:lnTo>
                <a:lnTo>
                  <a:pt x="41" y="0"/>
                </a:lnTo>
                <a:lnTo>
                  <a:pt x="41" y="9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112</xdr:row>
      <xdr:rowOff>76200</xdr:rowOff>
    </xdr:from>
    <xdr:to>
      <xdr:col>18</xdr:col>
      <xdr:colOff>1400175</xdr:colOff>
      <xdr:row>112</xdr:row>
      <xdr:rowOff>257175</xdr:rowOff>
    </xdr:to>
    <xdr:grpSp>
      <xdr:nvGrpSpPr>
        <xdr:cNvPr id="2932" name="Group 1"/>
        <xdr:cNvGrpSpPr>
          <a:grpSpLocks/>
        </xdr:cNvGrpSpPr>
      </xdr:nvGrpSpPr>
      <xdr:grpSpPr bwMode="auto">
        <a:xfrm>
          <a:off x="6591300" y="39300150"/>
          <a:ext cx="876300" cy="180975"/>
          <a:chOff x="594" y="27"/>
          <a:chExt cx="92" cy="19"/>
        </a:xfrm>
      </xdr:grpSpPr>
      <xdr:sp macro="" textlink="">
        <xdr:nvSpPr>
          <xdr:cNvPr id="2933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13">
        <xdr:nvSpPr>
          <xdr:cNvPr id="2934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111E567-4A15-411A-80BA-1761EC738CB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1300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113</xdr:row>
      <xdr:rowOff>76200</xdr:rowOff>
    </xdr:from>
    <xdr:to>
      <xdr:col>18</xdr:col>
      <xdr:colOff>1400175</xdr:colOff>
      <xdr:row>113</xdr:row>
      <xdr:rowOff>257175</xdr:rowOff>
    </xdr:to>
    <xdr:grpSp>
      <xdr:nvGrpSpPr>
        <xdr:cNvPr id="2938" name="Group 1"/>
        <xdr:cNvGrpSpPr>
          <a:grpSpLocks/>
        </xdr:cNvGrpSpPr>
      </xdr:nvGrpSpPr>
      <xdr:grpSpPr bwMode="auto">
        <a:xfrm>
          <a:off x="6591300" y="39633525"/>
          <a:ext cx="876300" cy="180975"/>
          <a:chOff x="594" y="27"/>
          <a:chExt cx="92" cy="19"/>
        </a:xfrm>
      </xdr:grpSpPr>
      <xdr:sp macro="" textlink="">
        <xdr:nvSpPr>
          <xdr:cNvPr id="2939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14">
        <xdr:nvSpPr>
          <xdr:cNvPr id="2940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16A2E6A-E39B-4792-8976-06732F9996A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114</xdr:row>
      <xdr:rowOff>38100</xdr:rowOff>
    </xdr:from>
    <xdr:to>
      <xdr:col>18</xdr:col>
      <xdr:colOff>1600200</xdr:colOff>
      <xdr:row>114</xdr:row>
      <xdr:rowOff>666750</xdr:rowOff>
    </xdr:to>
    <xdr:grpSp>
      <xdr:nvGrpSpPr>
        <xdr:cNvPr id="2949" name="Group 3079"/>
        <xdr:cNvGrpSpPr>
          <a:grpSpLocks/>
        </xdr:cNvGrpSpPr>
      </xdr:nvGrpSpPr>
      <xdr:grpSpPr bwMode="auto">
        <a:xfrm>
          <a:off x="6124575" y="39928800"/>
          <a:ext cx="1543050" cy="628650"/>
          <a:chOff x="607" y="297"/>
          <a:chExt cx="162" cy="66"/>
        </a:xfrm>
      </xdr:grpSpPr>
      <xdr:sp macro="" textlink="I115">
        <xdr:nvSpPr>
          <xdr:cNvPr id="2950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BD19263-2D48-4145-8B09-EEB57DAE85B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2513</a:t>
            </a:fld>
            <a:endParaRPr lang="en-US"/>
          </a:p>
        </xdr:txBody>
      </xdr:sp>
      <xdr:sp macro="" textlink="J115">
        <xdr:nvSpPr>
          <xdr:cNvPr id="2951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0B1EFC7-0AB9-451A-8992-0F074BF9371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15">
        <xdr:nvSpPr>
          <xdr:cNvPr id="2952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3FF3B78-C4FD-4F08-8822-C92985713C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2953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954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55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56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115</xdr:row>
      <xdr:rowOff>38100</xdr:rowOff>
    </xdr:from>
    <xdr:to>
      <xdr:col>18</xdr:col>
      <xdr:colOff>1600200</xdr:colOff>
      <xdr:row>115</xdr:row>
      <xdr:rowOff>666750</xdr:rowOff>
    </xdr:to>
    <xdr:grpSp>
      <xdr:nvGrpSpPr>
        <xdr:cNvPr id="2965" name="Group 3079"/>
        <xdr:cNvGrpSpPr>
          <a:grpSpLocks/>
        </xdr:cNvGrpSpPr>
      </xdr:nvGrpSpPr>
      <xdr:grpSpPr bwMode="auto">
        <a:xfrm>
          <a:off x="6124575" y="40624125"/>
          <a:ext cx="1543050" cy="295275"/>
          <a:chOff x="607" y="297"/>
          <a:chExt cx="162" cy="66"/>
        </a:xfrm>
      </xdr:grpSpPr>
      <xdr:sp macro="" textlink="I116">
        <xdr:nvSpPr>
          <xdr:cNvPr id="2966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65502D-2D7A-4F7C-AAB5-E35C0A8E407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6700</a:t>
            </a:fld>
            <a:endParaRPr lang="en-US"/>
          </a:p>
        </xdr:txBody>
      </xdr:sp>
      <xdr:sp macro="" textlink="J116">
        <xdr:nvSpPr>
          <xdr:cNvPr id="2967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17DF760-35D7-43D1-B7AA-207EC776A33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16">
        <xdr:nvSpPr>
          <xdr:cNvPr id="2968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E93237E-47D4-45D8-ADDC-F483E74F5BB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2969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970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71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72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116</xdr:row>
      <xdr:rowOff>76200</xdr:rowOff>
    </xdr:from>
    <xdr:to>
      <xdr:col>18</xdr:col>
      <xdr:colOff>1400175</xdr:colOff>
      <xdr:row>116</xdr:row>
      <xdr:rowOff>257175</xdr:rowOff>
    </xdr:to>
    <xdr:grpSp>
      <xdr:nvGrpSpPr>
        <xdr:cNvPr id="2976" name="Group 1"/>
        <xdr:cNvGrpSpPr>
          <a:grpSpLocks/>
        </xdr:cNvGrpSpPr>
      </xdr:nvGrpSpPr>
      <xdr:grpSpPr bwMode="auto">
        <a:xfrm>
          <a:off x="6591300" y="40995600"/>
          <a:ext cx="876300" cy="180975"/>
          <a:chOff x="594" y="27"/>
          <a:chExt cx="92" cy="19"/>
        </a:xfrm>
      </xdr:grpSpPr>
      <xdr:sp macro="" textlink="">
        <xdr:nvSpPr>
          <xdr:cNvPr id="2977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17">
        <xdr:nvSpPr>
          <xdr:cNvPr id="2978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FD58DD7-A816-4E95-A384-86ECDA16F0C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2400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117</xdr:row>
      <xdr:rowOff>76200</xdr:rowOff>
    </xdr:from>
    <xdr:to>
      <xdr:col>18</xdr:col>
      <xdr:colOff>1400175</xdr:colOff>
      <xdr:row>117</xdr:row>
      <xdr:rowOff>257175</xdr:rowOff>
    </xdr:to>
    <xdr:grpSp>
      <xdr:nvGrpSpPr>
        <xdr:cNvPr id="2979" name="Group 1"/>
        <xdr:cNvGrpSpPr>
          <a:grpSpLocks/>
        </xdr:cNvGrpSpPr>
      </xdr:nvGrpSpPr>
      <xdr:grpSpPr bwMode="auto">
        <a:xfrm>
          <a:off x="6591300" y="41690925"/>
          <a:ext cx="876300" cy="180975"/>
          <a:chOff x="594" y="27"/>
          <a:chExt cx="92" cy="19"/>
        </a:xfrm>
      </xdr:grpSpPr>
      <xdr:sp macro="" textlink="">
        <xdr:nvSpPr>
          <xdr:cNvPr id="2980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17">
        <xdr:nvSpPr>
          <xdr:cNvPr id="2981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FD58DD7-A816-4E95-A384-86ECDA16F0C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2400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118</xdr:row>
      <xdr:rowOff>38100</xdr:rowOff>
    </xdr:from>
    <xdr:to>
      <xdr:col>18</xdr:col>
      <xdr:colOff>1600200</xdr:colOff>
      <xdr:row>118</xdr:row>
      <xdr:rowOff>666750</xdr:rowOff>
    </xdr:to>
    <xdr:grpSp>
      <xdr:nvGrpSpPr>
        <xdr:cNvPr id="2985" name="Group 3079"/>
        <xdr:cNvGrpSpPr>
          <a:grpSpLocks/>
        </xdr:cNvGrpSpPr>
      </xdr:nvGrpSpPr>
      <xdr:grpSpPr bwMode="auto">
        <a:xfrm>
          <a:off x="6124575" y="42348150"/>
          <a:ext cx="1543050" cy="295275"/>
          <a:chOff x="607" y="297"/>
          <a:chExt cx="162" cy="66"/>
        </a:xfrm>
      </xdr:grpSpPr>
      <xdr:sp macro="" textlink="I119">
        <xdr:nvSpPr>
          <xdr:cNvPr id="2986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AEE9381-399E-4B96-9178-68EB86DB371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6400</a:t>
            </a:fld>
            <a:endParaRPr lang="en-US"/>
          </a:p>
        </xdr:txBody>
      </xdr:sp>
      <xdr:sp macro="" textlink="J119">
        <xdr:nvSpPr>
          <xdr:cNvPr id="2987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066B649-60A2-4B2B-A5B0-0189DD2CF2A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19">
        <xdr:nvSpPr>
          <xdr:cNvPr id="2988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73B0B37-5BF1-40DD-A68A-241F96331D8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2989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990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91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92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120</xdr:row>
      <xdr:rowOff>38100</xdr:rowOff>
    </xdr:from>
    <xdr:to>
      <xdr:col>18</xdr:col>
      <xdr:colOff>1600200</xdr:colOff>
      <xdr:row>120</xdr:row>
      <xdr:rowOff>666750</xdr:rowOff>
    </xdr:to>
    <xdr:grpSp>
      <xdr:nvGrpSpPr>
        <xdr:cNvPr id="1395" name="Group 3079"/>
        <xdr:cNvGrpSpPr>
          <a:grpSpLocks/>
        </xdr:cNvGrpSpPr>
      </xdr:nvGrpSpPr>
      <xdr:grpSpPr bwMode="auto">
        <a:xfrm>
          <a:off x="6124575" y="43376850"/>
          <a:ext cx="1543050" cy="628650"/>
          <a:chOff x="607" y="297"/>
          <a:chExt cx="162" cy="66"/>
        </a:xfrm>
      </xdr:grpSpPr>
      <xdr:sp macro="" textlink="I121">
        <xdr:nvSpPr>
          <xdr:cNvPr id="1396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1D6C454-B65A-4C9A-B605-3CF5B8EF09F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4425</a:t>
            </a:fld>
            <a:endParaRPr lang="en-US"/>
          </a:p>
        </xdr:txBody>
      </xdr:sp>
      <xdr:sp macro="" textlink="J121">
        <xdr:nvSpPr>
          <xdr:cNvPr id="1397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64DEC5C-0087-4C08-BEF2-CE15D4C365A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21">
        <xdr:nvSpPr>
          <xdr:cNvPr id="1398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E8DC464-741D-455D-8A65-B9DFFAFEB18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1399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400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16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17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121</xdr:row>
      <xdr:rowOff>38100</xdr:rowOff>
    </xdr:from>
    <xdr:to>
      <xdr:col>18</xdr:col>
      <xdr:colOff>1600200</xdr:colOff>
      <xdr:row>121</xdr:row>
      <xdr:rowOff>666750</xdr:rowOff>
    </xdr:to>
    <xdr:grpSp>
      <xdr:nvGrpSpPr>
        <xdr:cNvPr id="1418" name="Group 3079"/>
        <xdr:cNvGrpSpPr>
          <a:grpSpLocks/>
        </xdr:cNvGrpSpPr>
      </xdr:nvGrpSpPr>
      <xdr:grpSpPr bwMode="auto">
        <a:xfrm>
          <a:off x="6124575" y="44072175"/>
          <a:ext cx="1543050" cy="295275"/>
          <a:chOff x="607" y="297"/>
          <a:chExt cx="162" cy="66"/>
        </a:xfrm>
      </xdr:grpSpPr>
      <xdr:sp macro="" textlink="I122">
        <xdr:nvSpPr>
          <xdr:cNvPr id="1419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ECB0727-FA3E-4891-922B-1BFCDFF4F14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7600</a:t>
            </a:fld>
            <a:endParaRPr lang="en-US"/>
          </a:p>
        </xdr:txBody>
      </xdr:sp>
      <xdr:sp macro="" textlink="J122">
        <xdr:nvSpPr>
          <xdr:cNvPr id="1420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9E94D0C-D079-4E28-9CE5-AE21E38E0EE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22">
        <xdr:nvSpPr>
          <xdr:cNvPr id="1421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256C464-03D1-4E39-BE66-B455D09B124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1422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423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25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26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122</xdr:row>
      <xdr:rowOff>76200</xdr:rowOff>
    </xdr:from>
    <xdr:to>
      <xdr:col>18</xdr:col>
      <xdr:colOff>1400175</xdr:colOff>
      <xdr:row>122</xdr:row>
      <xdr:rowOff>257175</xdr:rowOff>
    </xdr:to>
    <xdr:grpSp>
      <xdr:nvGrpSpPr>
        <xdr:cNvPr id="1427" name="Group 1"/>
        <xdr:cNvGrpSpPr>
          <a:grpSpLocks/>
        </xdr:cNvGrpSpPr>
      </xdr:nvGrpSpPr>
      <xdr:grpSpPr bwMode="auto">
        <a:xfrm>
          <a:off x="6591300" y="44443650"/>
          <a:ext cx="876300" cy="180975"/>
          <a:chOff x="594" y="27"/>
          <a:chExt cx="92" cy="19"/>
        </a:xfrm>
      </xdr:grpSpPr>
      <xdr:sp macro="" textlink="">
        <xdr:nvSpPr>
          <xdr:cNvPr id="1428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23">
        <xdr:nvSpPr>
          <xdr:cNvPr id="1429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2993495-EF6E-4017-AD10-A070E804694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3850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123</xdr:row>
      <xdr:rowOff>38100</xdr:rowOff>
    </xdr:from>
    <xdr:to>
      <xdr:col>18</xdr:col>
      <xdr:colOff>1600200</xdr:colOff>
      <xdr:row>123</xdr:row>
      <xdr:rowOff>666750</xdr:rowOff>
    </xdr:to>
    <xdr:grpSp>
      <xdr:nvGrpSpPr>
        <xdr:cNvPr id="1430" name="Group 3079"/>
        <xdr:cNvGrpSpPr>
          <a:grpSpLocks/>
        </xdr:cNvGrpSpPr>
      </xdr:nvGrpSpPr>
      <xdr:grpSpPr bwMode="auto">
        <a:xfrm>
          <a:off x="6124575" y="44738925"/>
          <a:ext cx="1543050" cy="295275"/>
          <a:chOff x="607" y="297"/>
          <a:chExt cx="162" cy="66"/>
        </a:xfrm>
      </xdr:grpSpPr>
      <xdr:sp macro="" textlink="I124">
        <xdr:nvSpPr>
          <xdr:cNvPr id="1431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2089D46-08AF-447A-91AC-834E45DA913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5838</a:t>
            </a:fld>
            <a:endParaRPr lang="en-US"/>
          </a:p>
        </xdr:txBody>
      </xdr:sp>
      <xdr:sp macro="" textlink="J124">
        <xdr:nvSpPr>
          <xdr:cNvPr id="1432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BC1ABBD-655A-4546-84F5-A9599E3E538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24">
        <xdr:nvSpPr>
          <xdr:cNvPr id="1433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51AD50E-F52A-4016-8CAE-FF9B995B201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1434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435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36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37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124</xdr:row>
      <xdr:rowOff>38100</xdr:rowOff>
    </xdr:from>
    <xdr:to>
      <xdr:col>18</xdr:col>
      <xdr:colOff>1600200</xdr:colOff>
      <xdr:row>124</xdr:row>
      <xdr:rowOff>666750</xdr:rowOff>
    </xdr:to>
    <xdr:grpSp>
      <xdr:nvGrpSpPr>
        <xdr:cNvPr id="1438" name="Group 3079"/>
        <xdr:cNvGrpSpPr>
          <a:grpSpLocks/>
        </xdr:cNvGrpSpPr>
      </xdr:nvGrpSpPr>
      <xdr:grpSpPr bwMode="auto">
        <a:xfrm>
          <a:off x="6124575" y="45072300"/>
          <a:ext cx="1543050" cy="628650"/>
          <a:chOff x="607" y="297"/>
          <a:chExt cx="162" cy="66"/>
        </a:xfrm>
      </xdr:grpSpPr>
      <xdr:sp macro="" textlink="I125">
        <xdr:nvSpPr>
          <xdr:cNvPr id="1439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95F09F9-76F5-417D-ABB3-644ACEA641A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5867</a:t>
            </a:fld>
            <a:endParaRPr lang="en-US"/>
          </a:p>
        </xdr:txBody>
      </xdr:sp>
      <xdr:sp macro="" textlink="J125">
        <xdr:nvSpPr>
          <xdr:cNvPr id="1440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7F7AA38-71E7-4179-80C3-40788273BB3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25">
        <xdr:nvSpPr>
          <xdr:cNvPr id="1441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25647CA-5A08-47D9-9D57-7A78626FC28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1442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443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44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45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125</xdr:row>
      <xdr:rowOff>76200</xdr:rowOff>
    </xdr:from>
    <xdr:to>
      <xdr:col>18</xdr:col>
      <xdr:colOff>1400175</xdr:colOff>
      <xdr:row>125</xdr:row>
      <xdr:rowOff>257175</xdr:rowOff>
    </xdr:to>
    <xdr:grpSp>
      <xdr:nvGrpSpPr>
        <xdr:cNvPr id="1446" name="Group 1"/>
        <xdr:cNvGrpSpPr>
          <a:grpSpLocks/>
        </xdr:cNvGrpSpPr>
      </xdr:nvGrpSpPr>
      <xdr:grpSpPr bwMode="auto">
        <a:xfrm>
          <a:off x="6591300" y="45805725"/>
          <a:ext cx="876300" cy="180975"/>
          <a:chOff x="594" y="27"/>
          <a:chExt cx="92" cy="19"/>
        </a:xfrm>
      </xdr:grpSpPr>
      <xdr:sp macro="" textlink="">
        <xdr:nvSpPr>
          <xdr:cNvPr id="1447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26">
        <xdr:nvSpPr>
          <xdr:cNvPr id="1448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A9B2E07-0A2C-4B02-81C1-F0B131F331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2650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127</xdr:row>
      <xdr:rowOff>76200</xdr:rowOff>
    </xdr:from>
    <xdr:to>
      <xdr:col>18</xdr:col>
      <xdr:colOff>1400175</xdr:colOff>
      <xdr:row>127</xdr:row>
      <xdr:rowOff>257175</xdr:rowOff>
    </xdr:to>
    <xdr:grpSp>
      <xdr:nvGrpSpPr>
        <xdr:cNvPr id="1449" name="Group 1"/>
        <xdr:cNvGrpSpPr>
          <a:grpSpLocks/>
        </xdr:cNvGrpSpPr>
      </xdr:nvGrpSpPr>
      <xdr:grpSpPr bwMode="auto">
        <a:xfrm>
          <a:off x="6591300" y="46834425"/>
          <a:ext cx="876300" cy="180975"/>
          <a:chOff x="594" y="27"/>
          <a:chExt cx="92" cy="19"/>
        </a:xfrm>
      </xdr:grpSpPr>
      <xdr:sp macro="" textlink="">
        <xdr:nvSpPr>
          <xdr:cNvPr id="1450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28">
        <xdr:nvSpPr>
          <xdr:cNvPr id="1451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0826878-DF9A-41A2-ABD3-356D8762186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11430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128</xdr:row>
      <xdr:rowOff>38100</xdr:rowOff>
    </xdr:from>
    <xdr:to>
      <xdr:col>18</xdr:col>
      <xdr:colOff>1600200</xdr:colOff>
      <xdr:row>128</xdr:row>
      <xdr:rowOff>666750</xdr:rowOff>
    </xdr:to>
    <xdr:grpSp>
      <xdr:nvGrpSpPr>
        <xdr:cNvPr id="1452" name="Group 3079"/>
        <xdr:cNvGrpSpPr>
          <a:grpSpLocks/>
        </xdr:cNvGrpSpPr>
      </xdr:nvGrpSpPr>
      <xdr:grpSpPr bwMode="auto">
        <a:xfrm>
          <a:off x="6124575" y="47577375"/>
          <a:ext cx="1543050" cy="628650"/>
          <a:chOff x="607" y="297"/>
          <a:chExt cx="162" cy="66"/>
        </a:xfrm>
      </xdr:grpSpPr>
      <xdr:sp macro="" textlink="I129">
        <xdr:nvSpPr>
          <xdr:cNvPr id="1453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63DC842-8C4F-4433-ABE6-B7A64AAD83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8500</a:t>
            </a:fld>
            <a:endParaRPr lang="en-US"/>
          </a:p>
        </xdr:txBody>
      </xdr:sp>
      <xdr:sp macro="" textlink="J129">
        <xdr:nvSpPr>
          <xdr:cNvPr id="1454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BDB13EB-8432-4C68-BE1D-67BF04E3CF9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29">
        <xdr:nvSpPr>
          <xdr:cNvPr id="1455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B6BDAF4-0A93-40BE-AC19-1AA3C7C315D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1456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457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58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59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129</xdr:row>
      <xdr:rowOff>38100</xdr:rowOff>
    </xdr:from>
    <xdr:to>
      <xdr:col>18</xdr:col>
      <xdr:colOff>1600200</xdr:colOff>
      <xdr:row>129</xdr:row>
      <xdr:rowOff>666750</xdr:rowOff>
    </xdr:to>
    <xdr:grpSp>
      <xdr:nvGrpSpPr>
        <xdr:cNvPr id="1483" name="Group 3079"/>
        <xdr:cNvGrpSpPr>
          <a:grpSpLocks/>
        </xdr:cNvGrpSpPr>
      </xdr:nvGrpSpPr>
      <xdr:grpSpPr bwMode="auto">
        <a:xfrm>
          <a:off x="6124575" y="48272700"/>
          <a:ext cx="1543050" cy="628650"/>
          <a:chOff x="607" y="297"/>
          <a:chExt cx="162" cy="66"/>
        </a:xfrm>
      </xdr:grpSpPr>
      <xdr:sp macro="" textlink="I130">
        <xdr:nvSpPr>
          <xdr:cNvPr id="1484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EC639CB-E19C-4807-AB7B-11204BA1FD1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6900</a:t>
            </a:fld>
            <a:endParaRPr lang="en-US"/>
          </a:p>
        </xdr:txBody>
      </xdr:sp>
      <xdr:sp macro="" textlink="J130">
        <xdr:nvSpPr>
          <xdr:cNvPr id="1485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1B816D1-BAFA-499F-9EA4-4C40318431C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30">
        <xdr:nvSpPr>
          <xdr:cNvPr id="1486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0D2E08B-0FB2-4BD1-8E18-E0014B4F675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1487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488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89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90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131</xdr:row>
      <xdr:rowOff>57150</xdr:rowOff>
    </xdr:from>
    <xdr:to>
      <xdr:col>18</xdr:col>
      <xdr:colOff>1600200</xdr:colOff>
      <xdr:row>131</xdr:row>
      <xdr:rowOff>723900</xdr:rowOff>
    </xdr:to>
    <xdr:grpSp>
      <xdr:nvGrpSpPr>
        <xdr:cNvPr id="1491" name="Group 2870"/>
        <xdr:cNvGrpSpPr>
          <a:grpSpLocks/>
        </xdr:cNvGrpSpPr>
      </xdr:nvGrpSpPr>
      <xdr:grpSpPr bwMode="auto">
        <a:xfrm>
          <a:off x="6124575" y="49320450"/>
          <a:ext cx="1543050" cy="638175"/>
          <a:chOff x="532" y="1873"/>
          <a:chExt cx="162" cy="70"/>
        </a:xfrm>
      </xdr:grpSpPr>
      <xdr:sp macro="" textlink="I132">
        <xdr:nvSpPr>
          <xdr:cNvPr id="1492" name="Text Box 2871"/>
          <xdr:cNvSpPr txBox="1">
            <a:spLocks noChangeArrowheads="1" noTextEdit="1"/>
          </xdr:cNvSpPr>
        </xdr:nvSpPr>
        <xdr:spPr bwMode="auto">
          <a:xfrm>
            <a:off x="562" y="19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93B05B7-B49C-4072-97CA-99F15A1D837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4275</a:t>
            </a:fld>
            <a:endParaRPr lang="en-US"/>
          </a:p>
        </xdr:txBody>
      </xdr:sp>
      <xdr:sp macro="" textlink="J132">
        <xdr:nvSpPr>
          <xdr:cNvPr id="1493" name="Text Box 2872"/>
          <xdr:cNvSpPr txBox="1">
            <a:spLocks noChangeArrowheads="1" noTextEdit="1"/>
          </xdr:cNvSpPr>
        </xdr:nvSpPr>
        <xdr:spPr bwMode="auto">
          <a:xfrm>
            <a:off x="645" y="19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163F4FD-5DE8-4E4B-BD0A-D0B613EE7FA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32">
        <xdr:nvSpPr>
          <xdr:cNvPr id="1494" name="Text Box 2873"/>
          <xdr:cNvSpPr txBox="1">
            <a:spLocks noChangeArrowheads="1" noTextEdit="1"/>
          </xdr:cNvSpPr>
        </xdr:nvSpPr>
        <xdr:spPr bwMode="auto">
          <a:xfrm>
            <a:off x="532" y="187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9B61D5B-4D7A-48D7-9C80-F8991CEE970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L132">
        <xdr:nvSpPr>
          <xdr:cNvPr id="1495" name="Text Box 2874"/>
          <xdr:cNvSpPr txBox="1">
            <a:spLocks noChangeArrowheads="1" noTextEdit="1"/>
          </xdr:cNvSpPr>
        </xdr:nvSpPr>
        <xdr:spPr bwMode="auto">
          <a:xfrm>
            <a:off x="596" y="187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580CA4B-4D4B-4FDA-85C1-5D11C5BE56E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1496" name="Freeform 2875"/>
          <xdr:cNvSpPr>
            <a:spLocks/>
          </xdr:cNvSpPr>
        </xdr:nvSpPr>
        <xdr:spPr bwMode="auto">
          <a:xfrm>
            <a:off x="536" y="1896"/>
            <a:ext cx="100" cy="28"/>
          </a:xfrm>
          <a:custGeom>
            <a:avLst/>
            <a:gdLst>
              <a:gd name="T0" fmla="*/ 35 w 100"/>
              <a:gd name="T1" fmla="*/ 2 h 28"/>
              <a:gd name="T2" fmla="*/ 14 w 100"/>
              <a:gd name="T3" fmla="*/ 2 h 28"/>
              <a:gd name="T4" fmla="*/ 0 w 100"/>
              <a:gd name="T5" fmla="*/ 14 h 28"/>
              <a:gd name="T6" fmla="*/ 14 w 100"/>
              <a:gd name="T7" fmla="*/ 28 h 28"/>
              <a:gd name="T8" fmla="*/ 85 w 100"/>
              <a:gd name="T9" fmla="*/ 28 h 28"/>
              <a:gd name="T10" fmla="*/ 100 w 100"/>
              <a:gd name="T11" fmla="*/ 14 h 28"/>
              <a:gd name="T12" fmla="*/ 86 w 100"/>
              <a:gd name="T13" fmla="*/ 1 h 28"/>
              <a:gd name="T14" fmla="*/ 64 w 100"/>
              <a:gd name="T15" fmla="*/ 1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00" h="28">
                <a:moveTo>
                  <a:pt x="35" y="2"/>
                </a:moveTo>
                <a:lnTo>
                  <a:pt x="14" y="2"/>
                </a:lnTo>
                <a:cubicBezTo>
                  <a:pt x="14" y="2"/>
                  <a:pt x="1" y="2"/>
                  <a:pt x="0" y="14"/>
                </a:cubicBezTo>
                <a:cubicBezTo>
                  <a:pt x="0" y="27"/>
                  <a:pt x="14" y="28"/>
                  <a:pt x="14" y="28"/>
                </a:cubicBezTo>
                <a:lnTo>
                  <a:pt x="85" y="28"/>
                </a:lnTo>
                <a:cubicBezTo>
                  <a:pt x="85" y="28"/>
                  <a:pt x="100" y="28"/>
                  <a:pt x="100" y="14"/>
                </a:cubicBezTo>
                <a:cubicBezTo>
                  <a:pt x="100" y="0"/>
                  <a:pt x="86" y="1"/>
                  <a:pt x="86" y="1"/>
                </a:cubicBezTo>
                <a:lnTo>
                  <a:pt x="64" y="1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497" name="Freeform 2876"/>
          <xdr:cNvSpPr>
            <a:spLocks/>
          </xdr:cNvSpPr>
        </xdr:nvSpPr>
        <xdr:spPr bwMode="auto">
          <a:xfrm>
            <a:off x="535" y="1890"/>
            <a:ext cx="36" cy="12"/>
          </a:xfrm>
          <a:custGeom>
            <a:avLst/>
            <a:gdLst>
              <a:gd name="T0" fmla="*/ 35 w 35"/>
              <a:gd name="T1" fmla="*/ 0 h 14"/>
              <a:gd name="T2" fmla="*/ 35 w 35"/>
              <a:gd name="T3" fmla="*/ 6 h 14"/>
              <a:gd name="T4" fmla="*/ 35 w 35"/>
              <a:gd name="T5" fmla="*/ 0 h 14"/>
              <a:gd name="T6" fmla="*/ 0 w 35"/>
              <a:gd name="T7" fmla="*/ 0 h 14"/>
              <a:gd name="T8" fmla="*/ 0 w 35"/>
              <a:gd name="T9" fmla="*/ 14 h 14"/>
              <a:gd name="T10" fmla="*/ 0 w 35"/>
              <a:gd name="T11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5" h="14">
                <a:moveTo>
                  <a:pt x="35" y="0"/>
                </a:moveTo>
                <a:lnTo>
                  <a:pt x="35" y="6"/>
                </a:lnTo>
                <a:lnTo>
                  <a:pt x="35" y="0"/>
                </a:lnTo>
                <a:lnTo>
                  <a:pt x="0" y="0"/>
                </a:lnTo>
                <a:lnTo>
                  <a:pt x="0" y="14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98" name="Freeform 2877"/>
          <xdr:cNvSpPr>
            <a:spLocks/>
          </xdr:cNvSpPr>
        </xdr:nvSpPr>
        <xdr:spPr bwMode="auto">
          <a:xfrm>
            <a:off x="600" y="1889"/>
            <a:ext cx="36" cy="13"/>
          </a:xfrm>
          <a:custGeom>
            <a:avLst/>
            <a:gdLst>
              <a:gd name="T0" fmla="*/ 37 w 37"/>
              <a:gd name="T1" fmla="*/ 0 h 14"/>
              <a:gd name="T2" fmla="*/ 37 w 37"/>
              <a:gd name="T3" fmla="*/ 14 h 14"/>
              <a:gd name="T4" fmla="*/ 37 w 37"/>
              <a:gd name="T5" fmla="*/ 0 h 14"/>
              <a:gd name="T6" fmla="*/ 0 w 37"/>
              <a:gd name="T7" fmla="*/ 0 h 14"/>
              <a:gd name="T8" fmla="*/ 0 w 37"/>
              <a:gd name="T9" fmla="*/ 6 h 14"/>
              <a:gd name="T10" fmla="*/ 0 w 37"/>
              <a:gd name="T11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7" h="14">
                <a:moveTo>
                  <a:pt x="37" y="0"/>
                </a:moveTo>
                <a:lnTo>
                  <a:pt x="37" y="14"/>
                </a:lnTo>
                <a:lnTo>
                  <a:pt x="37" y="0"/>
                </a:lnTo>
                <a:lnTo>
                  <a:pt x="0" y="0"/>
                </a:lnTo>
                <a:lnTo>
                  <a:pt x="0" y="6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99" name="Freeform 2878"/>
          <xdr:cNvSpPr>
            <a:spLocks/>
          </xdr:cNvSpPr>
        </xdr:nvSpPr>
        <xdr:spPr bwMode="auto">
          <a:xfrm rot="16200000">
            <a:off x="625" y="1905"/>
            <a:ext cx="26" cy="9"/>
          </a:xfrm>
          <a:custGeom>
            <a:avLst/>
            <a:gdLst>
              <a:gd name="T0" fmla="*/ 0 w 41"/>
              <a:gd name="T1" fmla="*/ 9 h 9"/>
              <a:gd name="T2" fmla="*/ 0 w 41"/>
              <a:gd name="T3" fmla="*/ 0 h 9"/>
              <a:gd name="T4" fmla="*/ 0 w 41"/>
              <a:gd name="T5" fmla="*/ 9 h 9"/>
              <a:gd name="T6" fmla="*/ 41 w 41"/>
              <a:gd name="T7" fmla="*/ 9 h 9"/>
              <a:gd name="T8" fmla="*/ 41 w 41"/>
              <a:gd name="T9" fmla="*/ 0 h 9"/>
              <a:gd name="T10" fmla="*/ 41 w 41"/>
              <a:gd name="T11" fmla="*/ 9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0" y="9"/>
                </a:moveTo>
                <a:lnTo>
                  <a:pt x="0" y="0"/>
                </a:lnTo>
                <a:lnTo>
                  <a:pt x="0" y="9"/>
                </a:lnTo>
                <a:lnTo>
                  <a:pt x="41" y="9"/>
                </a:lnTo>
                <a:lnTo>
                  <a:pt x="41" y="0"/>
                </a:lnTo>
                <a:lnTo>
                  <a:pt x="41" y="9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00" name="Freeform 2879"/>
          <xdr:cNvSpPr>
            <a:spLocks/>
          </xdr:cNvSpPr>
        </xdr:nvSpPr>
        <xdr:spPr bwMode="auto">
          <a:xfrm>
            <a:off x="536" y="1921"/>
            <a:ext cx="99" cy="20"/>
          </a:xfrm>
          <a:custGeom>
            <a:avLst/>
            <a:gdLst>
              <a:gd name="T0" fmla="*/ 0 w 41"/>
              <a:gd name="T1" fmla="*/ 9 h 9"/>
              <a:gd name="T2" fmla="*/ 0 w 41"/>
              <a:gd name="T3" fmla="*/ 0 h 9"/>
              <a:gd name="T4" fmla="*/ 0 w 41"/>
              <a:gd name="T5" fmla="*/ 9 h 9"/>
              <a:gd name="T6" fmla="*/ 41 w 41"/>
              <a:gd name="T7" fmla="*/ 9 h 9"/>
              <a:gd name="T8" fmla="*/ 41 w 41"/>
              <a:gd name="T9" fmla="*/ 0 h 9"/>
              <a:gd name="T10" fmla="*/ 41 w 41"/>
              <a:gd name="T11" fmla="*/ 9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0" y="9"/>
                </a:moveTo>
                <a:lnTo>
                  <a:pt x="0" y="0"/>
                </a:lnTo>
                <a:lnTo>
                  <a:pt x="0" y="9"/>
                </a:lnTo>
                <a:lnTo>
                  <a:pt x="41" y="9"/>
                </a:lnTo>
                <a:lnTo>
                  <a:pt x="41" y="0"/>
                </a:lnTo>
                <a:lnTo>
                  <a:pt x="41" y="9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132</xdr:row>
      <xdr:rowOff>38100</xdr:rowOff>
    </xdr:from>
    <xdr:to>
      <xdr:col>18</xdr:col>
      <xdr:colOff>1600200</xdr:colOff>
      <xdr:row>132</xdr:row>
      <xdr:rowOff>666750</xdr:rowOff>
    </xdr:to>
    <xdr:grpSp>
      <xdr:nvGrpSpPr>
        <xdr:cNvPr id="1501" name="Group 3079"/>
        <xdr:cNvGrpSpPr>
          <a:grpSpLocks/>
        </xdr:cNvGrpSpPr>
      </xdr:nvGrpSpPr>
      <xdr:grpSpPr bwMode="auto">
        <a:xfrm>
          <a:off x="6124575" y="49996725"/>
          <a:ext cx="1543050" cy="628650"/>
          <a:chOff x="607" y="297"/>
          <a:chExt cx="162" cy="66"/>
        </a:xfrm>
      </xdr:grpSpPr>
      <xdr:sp macro="" textlink="I133">
        <xdr:nvSpPr>
          <xdr:cNvPr id="1502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5E1BDF5-01BF-4D71-9B9C-0A7E935BE33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10688</a:t>
            </a:fld>
            <a:endParaRPr lang="en-US"/>
          </a:p>
        </xdr:txBody>
      </xdr:sp>
      <xdr:sp macro="" textlink="J133">
        <xdr:nvSpPr>
          <xdr:cNvPr id="1503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3A5247B-8E88-400F-A2E0-4E0DCBD3C72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33">
        <xdr:nvSpPr>
          <xdr:cNvPr id="1504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5FCA5A4-64FE-4B72-A01D-27D35AA1433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1505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506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07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08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134</xdr:row>
      <xdr:rowOff>38100</xdr:rowOff>
    </xdr:from>
    <xdr:to>
      <xdr:col>18</xdr:col>
      <xdr:colOff>1600200</xdr:colOff>
      <xdr:row>134</xdr:row>
      <xdr:rowOff>666750</xdr:rowOff>
    </xdr:to>
    <xdr:grpSp>
      <xdr:nvGrpSpPr>
        <xdr:cNvPr id="1509" name="Group 3079"/>
        <xdr:cNvGrpSpPr>
          <a:grpSpLocks/>
        </xdr:cNvGrpSpPr>
      </xdr:nvGrpSpPr>
      <xdr:grpSpPr bwMode="auto">
        <a:xfrm>
          <a:off x="6124575" y="51025425"/>
          <a:ext cx="1543050" cy="295275"/>
          <a:chOff x="607" y="297"/>
          <a:chExt cx="162" cy="66"/>
        </a:xfrm>
      </xdr:grpSpPr>
      <xdr:sp macro="" textlink="I135">
        <xdr:nvSpPr>
          <xdr:cNvPr id="1510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AFB2736-1570-48B7-9232-3058FF603BD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7837</a:t>
            </a:fld>
            <a:endParaRPr lang="en-US"/>
          </a:p>
        </xdr:txBody>
      </xdr:sp>
      <xdr:sp macro="" textlink="J135">
        <xdr:nvSpPr>
          <xdr:cNvPr id="1511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EF528BD-2201-4913-8FE7-5D75CEC9C31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35">
        <xdr:nvSpPr>
          <xdr:cNvPr id="1512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EFC49BB-C1D4-4F15-89BD-487DDB13E63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1513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514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15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16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135</xdr:row>
      <xdr:rowOff>76200</xdr:rowOff>
    </xdr:from>
    <xdr:to>
      <xdr:col>18</xdr:col>
      <xdr:colOff>1400175</xdr:colOff>
      <xdr:row>135</xdr:row>
      <xdr:rowOff>257175</xdr:rowOff>
    </xdr:to>
    <xdr:grpSp>
      <xdr:nvGrpSpPr>
        <xdr:cNvPr id="1524" name="Group 1"/>
        <xdr:cNvGrpSpPr>
          <a:grpSpLocks/>
        </xdr:cNvGrpSpPr>
      </xdr:nvGrpSpPr>
      <xdr:grpSpPr bwMode="auto">
        <a:xfrm>
          <a:off x="6591300" y="51396900"/>
          <a:ext cx="876300" cy="180975"/>
          <a:chOff x="594" y="27"/>
          <a:chExt cx="92" cy="19"/>
        </a:xfrm>
      </xdr:grpSpPr>
      <xdr:sp macro="" textlink="">
        <xdr:nvSpPr>
          <xdr:cNvPr id="1525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36">
        <xdr:nvSpPr>
          <xdr:cNvPr id="1526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392BEA9-C073-4733-B0F5-8D2C4DF8B22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4425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136</xdr:row>
      <xdr:rowOff>38100</xdr:rowOff>
    </xdr:from>
    <xdr:to>
      <xdr:col>18</xdr:col>
      <xdr:colOff>1600200</xdr:colOff>
      <xdr:row>136</xdr:row>
      <xdr:rowOff>666750</xdr:rowOff>
    </xdr:to>
    <xdr:grpSp>
      <xdr:nvGrpSpPr>
        <xdr:cNvPr id="1527" name="Group 3079"/>
        <xdr:cNvGrpSpPr>
          <a:grpSpLocks/>
        </xdr:cNvGrpSpPr>
      </xdr:nvGrpSpPr>
      <xdr:grpSpPr bwMode="auto">
        <a:xfrm>
          <a:off x="6124575" y="52054125"/>
          <a:ext cx="1543050" cy="628650"/>
          <a:chOff x="607" y="297"/>
          <a:chExt cx="162" cy="66"/>
        </a:xfrm>
      </xdr:grpSpPr>
      <xdr:sp macro="" textlink="I137">
        <xdr:nvSpPr>
          <xdr:cNvPr id="1528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2EA6CCF-05B6-4210-B444-81D258698DD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10125</a:t>
            </a:fld>
            <a:endParaRPr lang="en-US"/>
          </a:p>
        </xdr:txBody>
      </xdr:sp>
      <xdr:sp macro="" textlink="J137">
        <xdr:nvSpPr>
          <xdr:cNvPr id="1529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B680014-AA11-417D-9C34-93DC93B42A0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37">
        <xdr:nvSpPr>
          <xdr:cNvPr id="1530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2C1C78C-D39F-4023-8D82-08E7856E560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1531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532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33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34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138</xdr:row>
      <xdr:rowOff>76200</xdr:rowOff>
    </xdr:from>
    <xdr:to>
      <xdr:col>18</xdr:col>
      <xdr:colOff>1400175</xdr:colOff>
      <xdr:row>138</xdr:row>
      <xdr:rowOff>257175</xdr:rowOff>
    </xdr:to>
    <xdr:grpSp>
      <xdr:nvGrpSpPr>
        <xdr:cNvPr id="1538" name="Group 1"/>
        <xdr:cNvGrpSpPr>
          <a:grpSpLocks/>
        </xdr:cNvGrpSpPr>
      </xdr:nvGrpSpPr>
      <xdr:grpSpPr bwMode="auto">
        <a:xfrm>
          <a:off x="6591300" y="53120925"/>
          <a:ext cx="876300" cy="180975"/>
          <a:chOff x="594" y="27"/>
          <a:chExt cx="92" cy="19"/>
        </a:xfrm>
      </xdr:grpSpPr>
      <xdr:sp macro="" textlink="">
        <xdr:nvSpPr>
          <xdr:cNvPr id="1539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39">
        <xdr:nvSpPr>
          <xdr:cNvPr id="1540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6C28AC4-9800-4E8A-B79F-7148951B7BB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140</xdr:row>
      <xdr:rowOff>38100</xdr:rowOff>
    </xdr:from>
    <xdr:to>
      <xdr:col>18</xdr:col>
      <xdr:colOff>1600200</xdr:colOff>
      <xdr:row>140</xdr:row>
      <xdr:rowOff>666750</xdr:rowOff>
    </xdr:to>
    <xdr:grpSp>
      <xdr:nvGrpSpPr>
        <xdr:cNvPr id="1541" name="Group 3079"/>
        <xdr:cNvGrpSpPr>
          <a:grpSpLocks/>
        </xdr:cNvGrpSpPr>
      </xdr:nvGrpSpPr>
      <xdr:grpSpPr bwMode="auto">
        <a:xfrm>
          <a:off x="6124575" y="53749575"/>
          <a:ext cx="1543050" cy="295275"/>
          <a:chOff x="607" y="297"/>
          <a:chExt cx="162" cy="66"/>
        </a:xfrm>
      </xdr:grpSpPr>
      <xdr:sp macro="" textlink="I141">
        <xdr:nvSpPr>
          <xdr:cNvPr id="1542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8E94F1B-3256-4207-8FDB-8A89B17495E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8025</a:t>
            </a:fld>
            <a:endParaRPr lang="en-US"/>
          </a:p>
        </xdr:txBody>
      </xdr:sp>
      <xdr:sp macro="" textlink="J141">
        <xdr:nvSpPr>
          <xdr:cNvPr id="1543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C5BA8B5-7F7E-460C-8131-E2491C86BA9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41">
        <xdr:nvSpPr>
          <xdr:cNvPr id="1544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3DBE6EF-9BAF-4D2C-8047-C65D91CEB50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1545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546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47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548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141</xdr:row>
      <xdr:rowOff>76200</xdr:rowOff>
    </xdr:from>
    <xdr:to>
      <xdr:col>18</xdr:col>
      <xdr:colOff>1400175</xdr:colOff>
      <xdr:row>141</xdr:row>
      <xdr:rowOff>257175</xdr:rowOff>
    </xdr:to>
    <xdr:grpSp>
      <xdr:nvGrpSpPr>
        <xdr:cNvPr id="1552" name="Group 1"/>
        <xdr:cNvGrpSpPr>
          <a:grpSpLocks/>
        </xdr:cNvGrpSpPr>
      </xdr:nvGrpSpPr>
      <xdr:grpSpPr bwMode="auto">
        <a:xfrm>
          <a:off x="6591300" y="54121050"/>
          <a:ext cx="876300" cy="180975"/>
          <a:chOff x="594" y="27"/>
          <a:chExt cx="92" cy="19"/>
        </a:xfrm>
      </xdr:grpSpPr>
      <xdr:sp macro="" textlink="">
        <xdr:nvSpPr>
          <xdr:cNvPr id="1553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42">
        <xdr:nvSpPr>
          <xdr:cNvPr id="1554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C261ED4-6FC5-4E35-9674-13A2CEC0902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144</xdr:row>
      <xdr:rowOff>76200</xdr:rowOff>
    </xdr:from>
    <xdr:to>
      <xdr:col>18</xdr:col>
      <xdr:colOff>1400175</xdr:colOff>
      <xdr:row>144</xdr:row>
      <xdr:rowOff>257175</xdr:rowOff>
    </xdr:to>
    <xdr:grpSp>
      <xdr:nvGrpSpPr>
        <xdr:cNvPr id="1555" name="Group 1"/>
        <xdr:cNvGrpSpPr>
          <a:grpSpLocks/>
        </xdr:cNvGrpSpPr>
      </xdr:nvGrpSpPr>
      <xdr:grpSpPr bwMode="auto">
        <a:xfrm>
          <a:off x="6591300" y="55121175"/>
          <a:ext cx="876300" cy="180975"/>
          <a:chOff x="594" y="27"/>
          <a:chExt cx="92" cy="19"/>
        </a:xfrm>
      </xdr:grpSpPr>
      <xdr:sp macro="" textlink="">
        <xdr:nvSpPr>
          <xdr:cNvPr id="1556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45">
        <xdr:nvSpPr>
          <xdr:cNvPr id="1557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F78A676-51F1-4C22-9221-743A390E969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146</xdr:row>
      <xdr:rowOff>76200</xdr:rowOff>
    </xdr:from>
    <xdr:to>
      <xdr:col>18</xdr:col>
      <xdr:colOff>1400175</xdr:colOff>
      <xdr:row>146</xdr:row>
      <xdr:rowOff>257175</xdr:rowOff>
    </xdr:to>
    <xdr:grpSp>
      <xdr:nvGrpSpPr>
        <xdr:cNvPr id="1558" name="Group 1"/>
        <xdr:cNvGrpSpPr>
          <a:grpSpLocks/>
        </xdr:cNvGrpSpPr>
      </xdr:nvGrpSpPr>
      <xdr:grpSpPr bwMode="auto">
        <a:xfrm>
          <a:off x="6591300" y="55787925"/>
          <a:ext cx="876300" cy="180975"/>
          <a:chOff x="594" y="27"/>
          <a:chExt cx="92" cy="19"/>
        </a:xfrm>
      </xdr:grpSpPr>
      <xdr:sp macro="" textlink="">
        <xdr:nvSpPr>
          <xdr:cNvPr id="1559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47">
        <xdr:nvSpPr>
          <xdr:cNvPr id="1560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A92219A-E101-4D61-99D3-635D69D365D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148</xdr:row>
      <xdr:rowOff>76200</xdr:rowOff>
    </xdr:from>
    <xdr:to>
      <xdr:col>18</xdr:col>
      <xdr:colOff>1400175</xdr:colOff>
      <xdr:row>148</xdr:row>
      <xdr:rowOff>257175</xdr:rowOff>
    </xdr:to>
    <xdr:grpSp>
      <xdr:nvGrpSpPr>
        <xdr:cNvPr id="1561" name="Group 1"/>
        <xdr:cNvGrpSpPr>
          <a:grpSpLocks/>
        </xdr:cNvGrpSpPr>
      </xdr:nvGrpSpPr>
      <xdr:grpSpPr bwMode="auto">
        <a:xfrm>
          <a:off x="6591300" y="56454675"/>
          <a:ext cx="876300" cy="180975"/>
          <a:chOff x="594" y="27"/>
          <a:chExt cx="92" cy="19"/>
        </a:xfrm>
      </xdr:grpSpPr>
      <xdr:sp macro="" textlink="">
        <xdr:nvSpPr>
          <xdr:cNvPr id="1562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49">
        <xdr:nvSpPr>
          <xdr:cNvPr id="1563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D4544A5-A809-4EF8-9855-CFBABEDB6A3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149</xdr:row>
      <xdr:rowOff>76200</xdr:rowOff>
    </xdr:from>
    <xdr:to>
      <xdr:col>18</xdr:col>
      <xdr:colOff>1400175</xdr:colOff>
      <xdr:row>149</xdr:row>
      <xdr:rowOff>257175</xdr:rowOff>
    </xdr:to>
    <xdr:grpSp>
      <xdr:nvGrpSpPr>
        <xdr:cNvPr id="1564" name="Group 1"/>
        <xdr:cNvGrpSpPr>
          <a:grpSpLocks/>
        </xdr:cNvGrpSpPr>
      </xdr:nvGrpSpPr>
      <xdr:grpSpPr bwMode="auto">
        <a:xfrm>
          <a:off x="6591300" y="56788050"/>
          <a:ext cx="876300" cy="180975"/>
          <a:chOff x="594" y="27"/>
          <a:chExt cx="92" cy="19"/>
        </a:xfrm>
      </xdr:grpSpPr>
      <xdr:sp macro="" textlink="">
        <xdr:nvSpPr>
          <xdr:cNvPr id="1565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50">
        <xdr:nvSpPr>
          <xdr:cNvPr id="1566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C816DF2-FCA0-4314-A9CC-7F2312E3857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2930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150</xdr:row>
      <xdr:rowOff>76200</xdr:rowOff>
    </xdr:from>
    <xdr:to>
      <xdr:col>18</xdr:col>
      <xdr:colOff>1400175</xdr:colOff>
      <xdr:row>150</xdr:row>
      <xdr:rowOff>257175</xdr:rowOff>
    </xdr:to>
    <xdr:grpSp>
      <xdr:nvGrpSpPr>
        <xdr:cNvPr id="1567" name="Group 1"/>
        <xdr:cNvGrpSpPr>
          <a:grpSpLocks/>
        </xdr:cNvGrpSpPr>
      </xdr:nvGrpSpPr>
      <xdr:grpSpPr bwMode="auto">
        <a:xfrm>
          <a:off x="6591300" y="57483375"/>
          <a:ext cx="876300" cy="180975"/>
          <a:chOff x="594" y="27"/>
          <a:chExt cx="92" cy="19"/>
        </a:xfrm>
      </xdr:grpSpPr>
      <xdr:sp macro="" textlink="">
        <xdr:nvSpPr>
          <xdr:cNvPr id="1568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51">
        <xdr:nvSpPr>
          <xdr:cNvPr id="1569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27E47F9-4C19-4528-B52E-193384BFE1C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1500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151</xdr:row>
      <xdr:rowOff>76200</xdr:rowOff>
    </xdr:from>
    <xdr:to>
      <xdr:col>18</xdr:col>
      <xdr:colOff>1400175</xdr:colOff>
      <xdr:row>151</xdr:row>
      <xdr:rowOff>257175</xdr:rowOff>
    </xdr:to>
    <xdr:grpSp>
      <xdr:nvGrpSpPr>
        <xdr:cNvPr id="1570" name="Group 1"/>
        <xdr:cNvGrpSpPr>
          <a:grpSpLocks/>
        </xdr:cNvGrpSpPr>
      </xdr:nvGrpSpPr>
      <xdr:grpSpPr bwMode="auto">
        <a:xfrm>
          <a:off x="6591300" y="57816750"/>
          <a:ext cx="876300" cy="180975"/>
          <a:chOff x="594" y="27"/>
          <a:chExt cx="92" cy="19"/>
        </a:xfrm>
      </xdr:grpSpPr>
      <xdr:sp macro="" textlink="">
        <xdr:nvSpPr>
          <xdr:cNvPr id="1571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52">
        <xdr:nvSpPr>
          <xdr:cNvPr id="1572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098AFC7-8005-4581-AA0E-86506F9647D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152</xdr:row>
      <xdr:rowOff>76200</xdr:rowOff>
    </xdr:from>
    <xdr:to>
      <xdr:col>18</xdr:col>
      <xdr:colOff>1400175</xdr:colOff>
      <xdr:row>152</xdr:row>
      <xdr:rowOff>257175</xdr:rowOff>
    </xdr:to>
    <xdr:grpSp>
      <xdr:nvGrpSpPr>
        <xdr:cNvPr id="1573" name="Group 1"/>
        <xdr:cNvGrpSpPr>
          <a:grpSpLocks/>
        </xdr:cNvGrpSpPr>
      </xdr:nvGrpSpPr>
      <xdr:grpSpPr bwMode="auto">
        <a:xfrm>
          <a:off x="6591300" y="58150125"/>
          <a:ext cx="876300" cy="180975"/>
          <a:chOff x="594" y="27"/>
          <a:chExt cx="92" cy="19"/>
        </a:xfrm>
      </xdr:grpSpPr>
      <xdr:sp macro="" textlink="">
        <xdr:nvSpPr>
          <xdr:cNvPr id="1574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53">
        <xdr:nvSpPr>
          <xdr:cNvPr id="1575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732F0EA-F33F-44FE-B21C-5CF8641D1B9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2000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153</xdr:row>
      <xdr:rowOff>38100</xdr:rowOff>
    </xdr:from>
    <xdr:to>
      <xdr:col>18</xdr:col>
      <xdr:colOff>1600200</xdr:colOff>
      <xdr:row>153</xdr:row>
      <xdr:rowOff>666750</xdr:rowOff>
    </xdr:to>
    <xdr:grpSp>
      <xdr:nvGrpSpPr>
        <xdr:cNvPr id="1631" name="Group 3079"/>
        <xdr:cNvGrpSpPr>
          <a:grpSpLocks/>
        </xdr:cNvGrpSpPr>
      </xdr:nvGrpSpPr>
      <xdr:grpSpPr bwMode="auto">
        <a:xfrm>
          <a:off x="6124575" y="58445400"/>
          <a:ext cx="1543050" cy="295275"/>
          <a:chOff x="607" y="297"/>
          <a:chExt cx="162" cy="66"/>
        </a:xfrm>
      </xdr:grpSpPr>
      <xdr:sp macro="" textlink="I154">
        <xdr:nvSpPr>
          <xdr:cNvPr id="1632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339F178-7BBC-44AC-B8C5-0C77B18B505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3225</a:t>
            </a:fld>
            <a:endParaRPr lang="en-US"/>
          </a:p>
        </xdr:txBody>
      </xdr:sp>
      <xdr:sp macro="" textlink="J154">
        <xdr:nvSpPr>
          <xdr:cNvPr id="1633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446BCAE-7FCB-449D-AC2F-B8905DEA7C6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54">
        <xdr:nvSpPr>
          <xdr:cNvPr id="1634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F554ECC-CE09-4CB6-85F6-AE331010B52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1635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636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37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38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154</xdr:row>
      <xdr:rowOff>76200</xdr:rowOff>
    </xdr:from>
    <xdr:to>
      <xdr:col>18</xdr:col>
      <xdr:colOff>1400175</xdr:colOff>
      <xdr:row>154</xdr:row>
      <xdr:rowOff>257175</xdr:rowOff>
    </xdr:to>
    <xdr:grpSp>
      <xdr:nvGrpSpPr>
        <xdr:cNvPr id="1639" name="Group 1"/>
        <xdr:cNvGrpSpPr>
          <a:grpSpLocks/>
        </xdr:cNvGrpSpPr>
      </xdr:nvGrpSpPr>
      <xdr:grpSpPr bwMode="auto">
        <a:xfrm>
          <a:off x="6591300" y="58816875"/>
          <a:ext cx="876300" cy="180975"/>
          <a:chOff x="594" y="27"/>
          <a:chExt cx="92" cy="19"/>
        </a:xfrm>
      </xdr:grpSpPr>
      <xdr:sp macro="" textlink="">
        <xdr:nvSpPr>
          <xdr:cNvPr id="1640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55">
        <xdr:nvSpPr>
          <xdr:cNvPr id="1641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F7B3529-E1BB-467B-9CF1-3D4008DDA0F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5500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147</xdr:row>
      <xdr:rowOff>76200</xdr:rowOff>
    </xdr:from>
    <xdr:to>
      <xdr:col>18</xdr:col>
      <xdr:colOff>1400175</xdr:colOff>
      <xdr:row>147</xdr:row>
      <xdr:rowOff>257175</xdr:rowOff>
    </xdr:to>
    <xdr:grpSp>
      <xdr:nvGrpSpPr>
        <xdr:cNvPr id="1695" name="Group 1"/>
        <xdr:cNvGrpSpPr>
          <a:grpSpLocks/>
        </xdr:cNvGrpSpPr>
      </xdr:nvGrpSpPr>
      <xdr:grpSpPr bwMode="auto">
        <a:xfrm>
          <a:off x="6591300" y="56121300"/>
          <a:ext cx="876300" cy="180975"/>
          <a:chOff x="594" y="27"/>
          <a:chExt cx="92" cy="19"/>
        </a:xfrm>
      </xdr:grpSpPr>
      <xdr:sp macro="" textlink="">
        <xdr:nvSpPr>
          <xdr:cNvPr id="1696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48">
        <xdr:nvSpPr>
          <xdr:cNvPr id="1697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91B12EE-0D54-42AC-9D41-224F8B07F91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156</xdr:row>
      <xdr:rowOff>76200</xdr:rowOff>
    </xdr:from>
    <xdr:to>
      <xdr:col>18</xdr:col>
      <xdr:colOff>1400175</xdr:colOff>
      <xdr:row>156</xdr:row>
      <xdr:rowOff>257175</xdr:rowOff>
    </xdr:to>
    <xdr:grpSp>
      <xdr:nvGrpSpPr>
        <xdr:cNvPr id="1701" name="Group 1"/>
        <xdr:cNvGrpSpPr>
          <a:grpSpLocks/>
        </xdr:cNvGrpSpPr>
      </xdr:nvGrpSpPr>
      <xdr:grpSpPr bwMode="auto">
        <a:xfrm>
          <a:off x="6591300" y="59483625"/>
          <a:ext cx="876300" cy="180975"/>
          <a:chOff x="594" y="27"/>
          <a:chExt cx="92" cy="19"/>
        </a:xfrm>
      </xdr:grpSpPr>
      <xdr:sp macro="" textlink="">
        <xdr:nvSpPr>
          <xdr:cNvPr id="1702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57">
        <xdr:nvSpPr>
          <xdr:cNvPr id="1703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83B31BE-49BD-42B5-9D1F-4EFD35773F8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4425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158</xdr:row>
      <xdr:rowOff>76200</xdr:rowOff>
    </xdr:from>
    <xdr:to>
      <xdr:col>18</xdr:col>
      <xdr:colOff>1400175</xdr:colOff>
      <xdr:row>158</xdr:row>
      <xdr:rowOff>257175</xdr:rowOff>
    </xdr:to>
    <xdr:grpSp>
      <xdr:nvGrpSpPr>
        <xdr:cNvPr id="1704" name="Group 1"/>
        <xdr:cNvGrpSpPr>
          <a:grpSpLocks/>
        </xdr:cNvGrpSpPr>
      </xdr:nvGrpSpPr>
      <xdr:grpSpPr bwMode="auto">
        <a:xfrm>
          <a:off x="6591300" y="60150375"/>
          <a:ext cx="876300" cy="180975"/>
          <a:chOff x="594" y="27"/>
          <a:chExt cx="92" cy="19"/>
        </a:xfrm>
      </xdr:grpSpPr>
      <xdr:sp macro="" textlink="">
        <xdr:nvSpPr>
          <xdr:cNvPr id="1705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59">
        <xdr:nvSpPr>
          <xdr:cNvPr id="1706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934E635-BB4C-46B4-AC6C-A716BEBBDB0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4425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159</xdr:row>
      <xdr:rowOff>76200</xdr:rowOff>
    </xdr:from>
    <xdr:to>
      <xdr:col>18</xdr:col>
      <xdr:colOff>1400175</xdr:colOff>
      <xdr:row>159</xdr:row>
      <xdr:rowOff>257175</xdr:rowOff>
    </xdr:to>
    <xdr:grpSp>
      <xdr:nvGrpSpPr>
        <xdr:cNvPr id="1707" name="Group 1"/>
        <xdr:cNvGrpSpPr>
          <a:grpSpLocks/>
        </xdr:cNvGrpSpPr>
      </xdr:nvGrpSpPr>
      <xdr:grpSpPr bwMode="auto">
        <a:xfrm>
          <a:off x="6591300" y="60483750"/>
          <a:ext cx="876300" cy="180975"/>
          <a:chOff x="594" y="27"/>
          <a:chExt cx="92" cy="19"/>
        </a:xfrm>
      </xdr:grpSpPr>
      <xdr:sp macro="" textlink="">
        <xdr:nvSpPr>
          <xdr:cNvPr id="1708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60">
        <xdr:nvSpPr>
          <xdr:cNvPr id="1709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7DA4156-3444-4888-85EA-D2D337E2056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13637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160</xdr:row>
      <xdr:rowOff>76200</xdr:rowOff>
    </xdr:from>
    <xdr:to>
      <xdr:col>18</xdr:col>
      <xdr:colOff>1400175</xdr:colOff>
      <xdr:row>160</xdr:row>
      <xdr:rowOff>257175</xdr:rowOff>
    </xdr:to>
    <xdr:grpSp>
      <xdr:nvGrpSpPr>
        <xdr:cNvPr id="1710" name="Group 1"/>
        <xdr:cNvGrpSpPr>
          <a:grpSpLocks/>
        </xdr:cNvGrpSpPr>
      </xdr:nvGrpSpPr>
      <xdr:grpSpPr bwMode="auto">
        <a:xfrm>
          <a:off x="6591300" y="60817125"/>
          <a:ext cx="876300" cy="180975"/>
          <a:chOff x="594" y="27"/>
          <a:chExt cx="92" cy="19"/>
        </a:xfrm>
      </xdr:grpSpPr>
      <xdr:sp macro="" textlink="">
        <xdr:nvSpPr>
          <xdr:cNvPr id="1711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61">
        <xdr:nvSpPr>
          <xdr:cNvPr id="1712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DADB17B-B695-4D72-9213-255D66A25B7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3225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161</xdr:row>
      <xdr:rowOff>76200</xdr:rowOff>
    </xdr:from>
    <xdr:to>
      <xdr:col>18</xdr:col>
      <xdr:colOff>1400175</xdr:colOff>
      <xdr:row>161</xdr:row>
      <xdr:rowOff>257175</xdr:rowOff>
    </xdr:to>
    <xdr:grpSp>
      <xdr:nvGrpSpPr>
        <xdr:cNvPr id="1716" name="Group 1"/>
        <xdr:cNvGrpSpPr>
          <a:grpSpLocks/>
        </xdr:cNvGrpSpPr>
      </xdr:nvGrpSpPr>
      <xdr:grpSpPr bwMode="auto">
        <a:xfrm>
          <a:off x="6591300" y="61150500"/>
          <a:ext cx="876300" cy="180975"/>
          <a:chOff x="594" y="27"/>
          <a:chExt cx="92" cy="19"/>
        </a:xfrm>
      </xdr:grpSpPr>
      <xdr:sp macro="" textlink="">
        <xdr:nvSpPr>
          <xdr:cNvPr id="1717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62">
        <xdr:nvSpPr>
          <xdr:cNvPr id="1718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34C24A2-3C8A-42B5-9B52-67C863C3F5D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18600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162</xdr:row>
      <xdr:rowOff>76200</xdr:rowOff>
    </xdr:from>
    <xdr:to>
      <xdr:col>18</xdr:col>
      <xdr:colOff>1400175</xdr:colOff>
      <xdr:row>162</xdr:row>
      <xdr:rowOff>257175</xdr:rowOff>
    </xdr:to>
    <xdr:grpSp>
      <xdr:nvGrpSpPr>
        <xdr:cNvPr id="1735" name="Group 1"/>
        <xdr:cNvGrpSpPr>
          <a:grpSpLocks/>
        </xdr:cNvGrpSpPr>
      </xdr:nvGrpSpPr>
      <xdr:grpSpPr bwMode="auto">
        <a:xfrm>
          <a:off x="6591300" y="61931550"/>
          <a:ext cx="876300" cy="180975"/>
          <a:chOff x="594" y="27"/>
          <a:chExt cx="92" cy="19"/>
        </a:xfrm>
      </xdr:grpSpPr>
      <xdr:sp macro="" textlink="">
        <xdr:nvSpPr>
          <xdr:cNvPr id="1736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63">
        <xdr:nvSpPr>
          <xdr:cNvPr id="1737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A765990-70B9-45E8-A3DE-EACC4F8C7D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2013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165</xdr:row>
      <xdr:rowOff>57150</xdr:rowOff>
    </xdr:from>
    <xdr:to>
      <xdr:col>18</xdr:col>
      <xdr:colOff>1600200</xdr:colOff>
      <xdr:row>165</xdr:row>
      <xdr:rowOff>723900</xdr:rowOff>
    </xdr:to>
    <xdr:grpSp>
      <xdr:nvGrpSpPr>
        <xdr:cNvPr id="1738" name="Group 2870"/>
        <xdr:cNvGrpSpPr>
          <a:grpSpLocks/>
        </xdr:cNvGrpSpPr>
      </xdr:nvGrpSpPr>
      <xdr:grpSpPr bwMode="auto">
        <a:xfrm>
          <a:off x="6124575" y="62931675"/>
          <a:ext cx="1543050" cy="276225"/>
          <a:chOff x="532" y="1873"/>
          <a:chExt cx="162" cy="70"/>
        </a:xfrm>
      </xdr:grpSpPr>
      <xdr:sp macro="" textlink="I166">
        <xdr:nvSpPr>
          <xdr:cNvPr id="1739" name="Text Box 2871"/>
          <xdr:cNvSpPr txBox="1">
            <a:spLocks noChangeArrowheads="1" noTextEdit="1"/>
          </xdr:cNvSpPr>
        </xdr:nvSpPr>
        <xdr:spPr bwMode="auto">
          <a:xfrm>
            <a:off x="562" y="19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DE5EB90-BB3D-4A53-AAF9-D2B2AB94133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2013</a:t>
            </a:fld>
            <a:endParaRPr lang="en-US"/>
          </a:p>
        </xdr:txBody>
      </xdr:sp>
      <xdr:sp macro="" textlink="J166">
        <xdr:nvSpPr>
          <xdr:cNvPr id="1740" name="Text Box 2872"/>
          <xdr:cNvSpPr txBox="1">
            <a:spLocks noChangeArrowheads="1" noTextEdit="1"/>
          </xdr:cNvSpPr>
        </xdr:nvSpPr>
        <xdr:spPr bwMode="auto">
          <a:xfrm>
            <a:off x="645" y="19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2FF4913-46A1-466D-B363-A6520CCB6D4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66">
        <xdr:nvSpPr>
          <xdr:cNvPr id="1741" name="Text Box 2873"/>
          <xdr:cNvSpPr txBox="1">
            <a:spLocks noChangeArrowheads="1" noTextEdit="1"/>
          </xdr:cNvSpPr>
        </xdr:nvSpPr>
        <xdr:spPr bwMode="auto">
          <a:xfrm>
            <a:off x="532" y="187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42BCA72-3C61-4F81-906A-5F1C1C81FB2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L166">
        <xdr:nvSpPr>
          <xdr:cNvPr id="1769" name="Text Box 2874"/>
          <xdr:cNvSpPr txBox="1">
            <a:spLocks noChangeArrowheads="1" noTextEdit="1"/>
          </xdr:cNvSpPr>
        </xdr:nvSpPr>
        <xdr:spPr bwMode="auto">
          <a:xfrm>
            <a:off x="596" y="187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9E84938-2F87-467A-B2EA-79FA4EBBD60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1770" name="Freeform 2875"/>
          <xdr:cNvSpPr>
            <a:spLocks/>
          </xdr:cNvSpPr>
        </xdr:nvSpPr>
        <xdr:spPr bwMode="auto">
          <a:xfrm>
            <a:off x="536" y="1896"/>
            <a:ext cx="100" cy="28"/>
          </a:xfrm>
          <a:custGeom>
            <a:avLst/>
            <a:gdLst>
              <a:gd name="T0" fmla="*/ 35 w 100"/>
              <a:gd name="T1" fmla="*/ 2 h 28"/>
              <a:gd name="T2" fmla="*/ 14 w 100"/>
              <a:gd name="T3" fmla="*/ 2 h 28"/>
              <a:gd name="T4" fmla="*/ 0 w 100"/>
              <a:gd name="T5" fmla="*/ 14 h 28"/>
              <a:gd name="T6" fmla="*/ 14 w 100"/>
              <a:gd name="T7" fmla="*/ 28 h 28"/>
              <a:gd name="T8" fmla="*/ 85 w 100"/>
              <a:gd name="T9" fmla="*/ 28 h 28"/>
              <a:gd name="T10" fmla="*/ 100 w 100"/>
              <a:gd name="T11" fmla="*/ 14 h 28"/>
              <a:gd name="T12" fmla="*/ 86 w 100"/>
              <a:gd name="T13" fmla="*/ 1 h 28"/>
              <a:gd name="T14" fmla="*/ 64 w 100"/>
              <a:gd name="T15" fmla="*/ 1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00" h="28">
                <a:moveTo>
                  <a:pt x="35" y="2"/>
                </a:moveTo>
                <a:lnTo>
                  <a:pt x="14" y="2"/>
                </a:lnTo>
                <a:cubicBezTo>
                  <a:pt x="14" y="2"/>
                  <a:pt x="1" y="2"/>
                  <a:pt x="0" y="14"/>
                </a:cubicBezTo>
                <a:cubicBezTo>
                  <a:pt x="0" y="27"/>
                  <a:pt x="14" y="28"/>
                  <a:pt x="14" y="28"/>
                </a:cubicBezTo>
                <a:lnTo>
                  <a:pt x="85" y="28"/>
                </a:lnTo>
                <a:cubicBezTo>
                  <a:pt x="85" y="28"/>
                  <a:pt x="100" y="28"/>
                  <a:pt x="100" y="14"/>
                </a:cubicBezTo>
                <a:cubicBezTo>
                  <a:pt x="100" y="0"/>
                  <a:pt x="86" y="1"/>
                  <a:pt x="86" y="1"/>
                </a:cubicBezTo>
                <a:lnTo>
                  <a:pt x="64" y="1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771" name="Freeform 2876"/>
          <xdr:cNvSpPr>
            <a:spLocks/>
          </xdr:cNvSpPr>
        </xdr:nvSpPr>
        <xdr:spPr bwMode="auto">
          <a:xfrm>
            <a:off x="535" y="1890"/>
            <a:ext cx="36" cy="12"/>
          </a:xfrm>
          <a:custGeom>
            <a:avLst/>
            <a:gdLst>
              <a:gd name="T0" fmla="*/ 35 w 35"/>
              <a:gd name="T1" fmla="*/ 0 h 14"/>
              <a:gd name="T2" fmla="*/ 35 w 35"/>
              <a:gd name="T3" fmla="*/ 6 h 14"/>
              <a:gd name="T4" fmla="*/ 35 w 35"/>
              <a:gd name="T5" fmla="*/ 0 h 14"/>
              <a:gd name="T6" fmla="*/ 0 w 35"/>
              <a:gd name="T7" fmla="*/ 0 h 14"/>
              <a:gd name="T8" fmla="*/ 0 w 35"/>
              <a:gd name="T9" fmla="*/ 14 h 14"/>
              <a:gd name="T10" fmla="*/ 0 w 35"/>
              <a:gd name="T11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5" h="14">
                <a:moveTo>
                  <a:pt x="35" y="0"/>
                </a:moveTo>
                <a:lnTo>
                  <a:pt x="35" y="6"/>
                </a:lnTo>
                <a:lnTo>
                  <a:pt x="35" y="0"/>
                </a:lnTo>
                <a:lnTo>
                  <a:pt x="0" y="0"/>
                </a:lnTo>
                <a:lnTo>
                  <a:pt x="0" y="14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72" name="Freeform 2877"/>
          <xdr:cNvSpPr>
            <a:spLocks/>
          </xdr:cNvSpPr>
        </xdr:nvSpPr>
        <xdr:spPr bwMode="auto">
          <a:xfrm>
            <a:off x="600" y="1889"/>
            <a:ext cx="36" cy="13"/>
          </a:xfrm>
          <a:custGeom>
            <a:avLst/>
            <a:gdLst>
              <a:gd name="T0" fmla="*/ 37 w 37"/>
              <a:gd name="T1" fmla="*/ 0 h 14"/>
              <a:gd name="T2" fmla="*/ 37 w 37"/>
              <a:gd name="T3" fmla="*/ 14 h 14"/>
              <a:gd name="T4" fmla="*/ 37 w 37"/>
              <a:gd name="T5" fmla="*/ 0 h 14"/>
              <a:gd name="T6" fmla="*/ 0 w 37"/>
              <a:gd name="T7" fmla="*/ 0 h 14"/>
              <a:gd name="T8" fmla="*/ 0 w 37"/>
              <a:gd name="T9" fmla="*/ 6 h 14"/>
              <a:gd name="T10" fmla="*/ 0 w 37"/>
              <a:gd name="T11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7" h="14">
                <a:moveTo>
                  <a:pt x="37" y="0"/>
                </a:moveTo>
                <a:lnTo>
                  <a:pt x="37" y="14"/>
                </a:lnTo>
                <a:lnTo>
                  <a:pt x="37" y="0"/>
                </a:lnTo>
                <a:lnTo>
                  <a:pt x="0" y="0"/>
                </a:lnTo>
                <a:lnTo>
                  <a:pt x="0" y="6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73" name="Freeform 2878"/>
          <xdr:cNvSpPr>
            <a:spLocks/>
          </xdr:cNvSpPr>
        </xdr:nvSpPr>
        <xdr:spPr bwMode="auto">
          <a:xfrm rot="16200000">
            <a:off x="625" y="1905"/>
            <a:ext cx="26" cy="9"/>
          </a:xfrm>
          <a:custGeom>
            <a:avLst/>
            <a:gdLst>
              <a:gd name="T0" fmla="*/ 0 w 41"/>
              <a:gd name="T1" fmla="*/ 9 h 9"/>
              <a:gd name="T2" fmla="*/ 0 w 41"/>
              <a:gd name="T3" fmla="*/ 0 h 9"/>
              <a:gd name="T4" fmla="*/ 0 w 41"/>
              <a:gd name="T5" fmla="*/ 9 h 9"/>
              <a:gd name="T6" fmla="*/ 41 w 41"/>
              <a:gd name="T7" fmla="*/ 9 h 9"/>
              <a:gd name="T8" fmla="*/ 41 w 41"/>
              <a:gd name="T9" fmla="*/ 0 h 9"/>
              <a:gd name="T10" fmla="*/ 41 w 41"/>
              <a:gd name="T11" fmla="*/ 9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0" y="9"/>
                </a:moveTo>
                <a:lnTo>
                  <a:pt x="0" y="0"/>
                </a:lnTo>
                <a:lnTo>
                  <a:pt x="0" y="9"/>
                </a:lnTo>
                <a:lnTo>
                  <a:pt x="41" y="9"/>
                </a:lnTo>
                <a:lnTo>
                  <a:pt x="41" y="0"/>
                </a:lnTo>
                <a:lnTo>
                  <a:pt x="41" y="9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74" name="Freeform 2879"/>
          <xdr:cNvSpPr>
            <a:spLocks/>
          </xdr:cNvSpPr>
        </xdr:nvSpPr>
        <xdr:spPr bwMode="auto">
          <a:xfrm>
            <a:off x="536" y="1921"/>
            <a:ext cx="99" cy="20"/>
          </a:xfrm>
          <a:custGeom>
            <a:avLst/>
            <a:gdLst>
              <a:gd name="T0" fmla="*/ 0 w 41"/>
              <a:gd name="T1" fmla="*/ 9 h 9"/>
              <a:gd name="T2" fmla="*/ 0 w 41"/>
              <a:gd name="T3" fmla="*/ 0 h 9"/>
              <a:gd name="T4" fmla="*/ 0 w 41"/>
              <a:gd name="T5" fmla="*/ 9 h 9"/>
              <a:gd name="T6" fmla="*/ 41 w 41"/>
              <a:gd name="T7" fmla="*/ 9 h 9"/>
              <a:gd name="T8" fmla="*/ 41 w 41"/>
              <a:gd name="T9" fmla="*/ 0 h 9"/>
              <a:gd name="T10" fmla="*/ 41 w 41"/>
              <a:gd name="T11" fmla="*/ 9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0" y="9"/>
                </a:moveTo>
                <a:lnTo>
                  <a:pt x="0" y="0"/>
                </a:lnTo>
                <a:lnTo>
                  <a:pt x="0" y="9"/>
                </a:lnTo>
                <a:lnTo>
                  <a:pt x="41" y="9"/>
                </a:lnTo>
                <a:lnTo>
                  <a:pt x="41" y="0"/>
                </a:lnTo>
                <a:lnTo>
                  <a:pt x="41" y="9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137</xdr:row>
      <xdr:rowOff>38100</xdr:rowOff>
    </xdr:from>
    <xdr:to>
      <xdr:col>18</xdr:col>
      <xdr:colOff>1600200</xdr:colOff>
      <xdr:row>137</xdr:row>
      <xdr:rowOff>666750</xdr:rowOff>
    </xdr:to>
    <xdr:grpSp>
      <xdr:nvGrpSpPr>
        <xdr:cNvPr id="1781" name="Group 3079"/>
        <xdr:cNvGrpSpPr>
          <a:grpSpLocks/>
        </xdr:cNvGrpSpPr>
      </xdr:nvGrpSpPr>
      <xdr:grpSpPr bwMode="auto">
        <a:xfrm>
          <a:off x="6124575" y="52749450"/>
          <a:ext cx="1543050" cy="295275"/>
          <a:chOff x="607" y="297"/>
          <a:chExt cx="162" cy="66"/>
        </a:xfrm>
      </xdr:grpSpPr>
      <xdr:sp macro="" textlink="I138">
        <xdr:nvSpPr>
          <xdr:cNvPr id="1782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3C12ABD-690F-4D5B-88E9-8C44D5A47DB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  <xdr:sp macro="" textlink="J138">
        <xdr:nvSpPr>
          <xdr:cNvPr id="1783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FAA3C9F-604E-4956-A220-6216899844C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38">
        <xdr:nvSpPr>
          <xdr:cNvPr id="1784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4CE1ECB-B687-47A2-93AC-CDBD8ED8347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1785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786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87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788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163</xdr:row>
      <xdr:rowOff>76200</xdr:rowOff>
    </xdr:from>
    <xdr:to>
      <xdr:col>18</xdr:col>
      <xdr:colOff>1400175</xdr:colOff>
      <xdr:row>163</xdr:row>
      <xdr:rowOff>257175</xdr:rowOff>
    </xdr:to>
    <xdr:grpSp>
      <xdr:nvGrpSpPr>
        <xdr:cNvPr id="1873" name="Group 1"/>
        <xdr:cNvGrpSpPr>
          <a:grpSpLocks/>
        </xdr:cNvGrpSpPr>
      </xdr:nvGrpSpPr>
      <xdr:grpSpPr bwMode="auto">
        <a:xfrm>
          <a:off x="6591300" y="62283975"/>
          <a:ext cx="876300" cy="180975"/>
          <a:chOff x="594" y="27"/>
          <a:chExt cx="92" cy="19"/>
        </a:xfrm>
      </xdr:grpSpPr>
      <xdr:sp macro="" textlink="">
        <xdr:nvSpPr>
          <xdr:cNvPr id="1874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64">
        <xdr:nvSpPr>
          <xdr:cNvPr id="1875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F25C3D1-0222-40D1-A113-28FD54BC972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1500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164</xdr:row>
      <xdr:rowOff>76200</xdr:rowOff>
    </xdr:from>
    <xdr:to>
      <xdr:col>18</xdr:col>
      <xdr:colOff>1400175</xdr:colOff>
      <xdr:row>164</xdr:row>
      <xdr:rowOff>257175</xdr:rowOff>
    </xdr:to>
    <xdr:grpSp>
      <xdr:nvGrpSpPr>
        <xdr:cNvPr id="1933" name="Group 1"/>
        <xdr:cNvGrpSpPr>
          <a:grpSpLocks/>
        </xdr:cNvGrpSpPr>
      </xdr:nvGrpSpPr>
      <xdr:grpSpPr bwMode="auto">
        <a:xfrm>
          <a:off x="6591300" y="62617350"/>
          <a:ext cx="876300" cy="180975"/>
          <a:chOff x="594" y="27"/>
          <a:chExt cx="92" cy="19"/>
        </a:xfrm>
      </xdr:grpSpPr>
      <xdr:sp macro="" textlink="">
        <xdr:nvSpPr>
          <xdr:cNvPr id="1934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65">
        <xdr:nvSpPr>
          <xdr:cNvPr id="1935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3737837-94FD-4246-B20E-08D01C34B03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1500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130</xdr:row>
      <xdr:rowOff>76200</xdr:rowOff>
    </xdr:from>
    <xdr:to>
      <xdr:col>18</xdr:col>
      <xdr:colOff>1400175</xdr:colOff>
      <xdr:row>130</xdr:row>
      <xdr:rowOff>257175</xdr:rowOff>
    </xdr:to>
    <xdr:grpSp>
      <xdr:nvGrpSpPr>
        <xdr:cNvPr id="2000" name="Group 1"/>
        <xdr:cNvGrpSpPr>
          <a:grpSpLocks/>
        </xdr:cNvGrpSpPr>
      </xdr:nvGrpSpPr>
      <xdr:grpSpPr bwMode="auto">
        <a:xfrm>
          <a:off x="6591300" y="49006125"/>
          <a:ext cx="876300" cy="180975"/>
          <a:chOff x="594" y="27"/>
          <a:chExt cx="92" cy="19"/>
        </a:xfrm>
      </xdr:grpSpPr>
      <xdr:sp macro="" textlink="">
        <xdr:nvSpPr>
          <xdr:cNvPr id="2008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31">
        <xdr:nvSpPr>
          <xdr:cNvPr id="2009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85C063A-2AEC-4E94-8156-9744D51D6A6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6975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139</xdr:row>
      <xdr:rowOff>38100</xdr:rowOff>
    </xdr:from>
    <xdr:to>
      <xdr:col>18</xdr:col>
      <xdr:colOff>1600200</xdr:colOff>
      <xdr:row>139</xdr:row>
      <xdr:rowOff>666750</xdr:rowOff>
    </xdr:to>
    <xdr:grpSp>
      <xdr:nvGrpSpPr>
        <xdr:cNvPr id="2026" name="Group 3079"/>
        <xdr:cNvGrpSpPr>
          <a:grpSpLocks/>
        </xdr:cNvGrpSpPr>
      </xdr:nvGrpSpPr>
      <xdr:grpSpPr bwMode="auto">
        <a:xfrm>
          <a:off x="6124575" y="53416200"/>
          <a:ext cx="1543050" cy="295275"/>
          <a:chOff x="607" y="297"/>
          <a:chExt cx="162" cy="66"/>
        </a:xfrm>
      </xdr:grpSpPr>
      <xdr:sp macro="" textlink="I140">
        <xdr:nvSpPr>
          <xdr:cNvPr id="2027" name="Text Box 27"/>
          <xdr:cNvSpPr txBox="1">
            <a:spLocks noChangeArrowheads="1" noTextEdit="1"/>
          </xdr:cNvSpPr>
        </xdr:nvSpPr>
        <xdr:spPr bwMode="auto">
          <a:xfrm>
            <a:off x="632" y="34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2A3F2C6-6E32-44FA-B538-67B81AA9AFD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3750</a:t>
            </a:fld>
            <a:endParaRPr lang="en-US"/>
          </a:p>
        </xdr:txBody>
      </xdr:sp>
      <xdr:sp macro="" textlink="J140">
        <xdr:nvSpPr>
          <xdr:cNvPr id="2028" name="Text Box 28"/>
          <xdr:cNvSpPr txBox="1">
            <a:spLocks noChangeArrowheads="1" noTextEdit="1"/>
          </xdr:cNvSpPr>
        </xdr:nvSpPr>
        <xdr:spPr bwMode="auto">
          <a:xfrm>
            <a:off x="720" y="3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EC69550-740A-4263-A008-6077D06693E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40">
        <xdr:nvSpPr>
          <xdr:cNvPr id="2029" name="Text Box 29"/>
          <xdr:cNvSpPr txBox="1">
            <a:spLocks noChangeArrowheads="1" noTextEdit="1"/>
          </xdr:cNvSpPr>
        </xdr:nvSpPr>
        <xdr:spPr bwMode="auto">
          <a:xfrm>
            <a:off x="652" y="29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380D244-AEF0-4A04-8AF8-372BC5F7350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2030" name="Freeform 30"/>
          <xdr:cNvSpPr>
            <a:spLocks/>
          </xdr:cNvSpPr>
        </xdr:nvSpPr>
        <xdr:spPr bwMode="auto">
          <a:xfrm>
            <a:off x="607" y="321"/>
            <a:ext cx="105" cy="25"/>
          </a:xfrm>
          <a:custGeom>
            <a:avLst/>
            <a:gdLst>
              <a:gd name="T0" fmla="*/ 31 w 105"/>
              <a:gd name="T1" fmla="*/ 0 h 25"/>
              <a:gd name="T2" fmla="*/ 90 w 105"/>
              <a:gd name="T3" fmla="*/ 0 h 25"/>
              <a:gd name="T4" fmla="*/ 105 w 105"/>
              <a:gd name="T5" fmla="*/ 12 h 25"/>
              <a:gd name="T6" fmla="*/ 91 w 105"/>
              <a:gd name="T7" fmla="*/ 24 h 25"/>
              <a:gd name="T8" fmla="*/ 0 w 105"/>
              <a:gd name="T9" fmla="*/ 24 h 2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05" h="25">
                <a:moveTo>
                  <a:pt x="31" y="0"/>
                </a:moveTo>
                <a:cubicBezTo>
                  <a:pt x="31" y="0"/>
                  <a:pt x="60" y="0"/>
                  <a:pt x="90" y="0"/>
                </a:cubicBezTo>
                <a:cubicBezTo>
                  <a:pt x="105" y="0"/>
                  <a:pt x="105" y="12"/>
                  <a:pt x="105" y="12"/>
                </a:cubicBezTo>
                <a:cubicBezTo>
                  <a:pt x="104" y="25"/>
                  <a:pt x="91" y="24"/>
                  <a:pt x="91" y="24"/>
                </a:cubicBez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031" name="Freeform 31"/>
          <xdr:cNvSpPr>
            <a:spLocks/>
          </xdr:cNvSpPr>
        </xdr:nvSpPr>
        <xdr:spPr bwMode="auto">
          <a:xfrm>
            <a:off x="709" y="321"/>
            <a:ext cx="9" cy="24"/>
          </a:xfrm>
          <a:custGeom>
            <a:avLst/>
            <a:gdLst>
              <a:gd name="T0" fmla="*/ 9 w 9"/>
              <a:gd name="T1" fmla="*/ 41 h 41"/>
              <a:gd name="T2" fmla="*/ 0 w 9"/>
              <a:gd name="T3" fmla="*/ 41 h 41"/>
              <a:gd name="T4" fmla="*/ 9 w 9"/>
              <a:gd name="T5" fmla="*/ 41 h 41"/>
              <a:gd name="T6" fmla="*/ 9 w 9"/>
              <a:gd name="T7" fmla="*/ 0 h 41"/>
              <a:gd name="T8" fmla="*/ 0 w 9"/>
              <a:gd name="T9" fmla="*/ 0 h 41"/>
              <a:gd name="T10" fmla="*/ 9 w 9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9" y="41"/>
                </a:moveTo>
                <a:lnTo>
                  <a:pt x="0" y="41"/>
                </a:lnTo>
                <a:lnTo>
                  <a:pt x="9" y="41"/>
                </a:lnTo>
                <a:lnTo>
                  <a:pt x="9" y="0"/>
                </a:lnTo>
                <a:lnTo>
                  <a:pt x="0" y="0"/>
                </a:lnTo>
                <a:lnTo>
                  <a:pt x="9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32" name="Freeform 32"/>
          <xdr:cNvSpPr>
            <a:spLocks/>
          </xdr:cNvSpPr>
        </xdr:nvSpPr>
        <xdr:spPr bwMode="auto">
          <a:xfrm>
            <a:off x="607" y="346"/>
            <a:ext cx="104" cy="14"/>
          </a:xfrm>
          <a:custGeom>
            <a:avLst/>
            <a:gdLst>
              <a:gd name="T0" fmla="*/ 0 w 104"/>
              <a:gd name="T1" fmla="*/ 14 h 14"/>
              <a:gd name="T2" fmla="*/ 0 w 104"/>
              <a:gd name="T3" fmla="*/ 3 h 14"/>
              <a:gd name="T4" fmla="*/ 0 w 104"/>
              <a:gd name="T5" fmla="*/ 14 h 14"/>
              <a:gd name="T6" fmla="*/ 104 w 104"/>
              <a:gd name="T7" fmla="*/ 14 h 14"/>
              <a:gd name="T8" fmla="*/ 104 w 104"/>
              <a:gd name="T9" fmla="*/ 0 h 14"/>
              <a:gd name="T10" fmla="*/ 104 w 104"/>
              <a:gd name="T11" fmla="*/ 14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04" h="14">
                <a:moveTo>
                  <a:pt x="0" y="14"/>
                </a:moveTo>
                <a:lnTo>
                  <a:pt x="0" y="3"/>
                </a:lnTo>
                <a:lnTo>
                  <a:pt x="0" y="14"/>
                </a:lnTo>
                <a:lnTo>
                  <a:pt x="104" y="14"/>
                </a:lnTo>
                <a:lnTo>
                  <a:pt x="104" y="0"/>
                </a:lnTo>
                <a:lnTo>
                  <a:pt x="104" y="14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33" name="Freeform 33"/>
          <xdr:cNvSpPr>
            <a:spLocks/>
          </xdr:cNvSpPr>
        </xdr:nvSpPr>
        <xdr:spPr bwMode="auto">
          <a:xfrm>
            <a:off x="638" y="313"/>
            <a:ext cx="73" cy="5"/>
          </a:xfrm>
          <a:custGeom>
            <a:avLst/>
            <a:gdLst>
              <a:gd name="T0" fmla="*/ 41 w 41"/>
              <a:gd name="T1" fmla="*/ 0 h 9"/>
              <a:gd name="T2" fmla="*/ 41 w 41"/>
              <a:gd name="T3" fmla="*/ 9 h 9"/>
              <a:gd name="T4" fmla="*/ 41 w 41"/>
              <a:gd name="T5" fmla="*/ 0 h 9"/>
              <a:gd name="T6" fmla="*/ 0 w 41"/>
              <a:gd name="T7" fmla="*/ 0 h 9"/>
              <a:gd name="T8" fmla="*/ 0 w 41"/>
              <a:gd name="T9" fmla="*/ 9 h 9"/>
              <a:gd name="T10" fmla="*/ 0 w 41"/>
              <a:gd name="T11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41" y="0"/>
                </a:moveTo>
                <a:lnTo>
                  <a:pt x="41" y="9"/>
                </a:lnTo>
                <a:lnTo>
                  <a:pt x="41" y="0"/>
                </a:lnTo>
                <a:lnTo>
                  <a:pt x="0" y="0"/>
                </a:lnTo>
                <a:lnTo>
                  <a:pt x="0" y="9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126</xdr:row>
      <xdr:rowOff>76200</xdr:rowOff>
    </xdr:from>
    <xdr:to>
      <xdr:col>18</xdr:col>
      <xdr:colOff>1400175</xdr:colOff>
      <xdr:row>126</xdr:row>
      <xdr:rowOff>257175</xdr:rowOff>
    </xdr:to>
    <xdr:grpSp>
      <xdr:nvGrpSpPr>
        <xdr:cNvPr id="2040" name="Group 1"/>
        <xdr:cNvGrpSpPr>
          <a:grpSpLocks/>
        </xdr:cNvGrpSpPr>
      </xdr:nvGrpSpPr>
      <xdr:grpSpPr bwMode="auto">
        <a:xfrm>
          <a:off x="6591300" y="46501050"/>
          <a:ext cx="876300" cy="180975"/>
          <a:chOff x="594" y="27"/>
          <a:chExt cx="92" cy="19"/>
        </a:xfrm>
      </xdr:grpSpPr>
      <xdr:sp macro="" textlink="">
        <xdr:nvSpPr>
          <xdr:cNvPr id="2041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27">
        <xdr:nvSpPr>
          <xdr:cNvPr id="2042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422E867-DE70-4E0C-B961-3B964396B26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178</xdr:row>
      <xdr:rowOff>28575</xdr:rowOff>
    </xdr:from>
    <xdr:to>
      <xdr:col>18</xdr:col>
      <xdr:colOff>1724025</xdr:colOff>
      <xdr:row>178</xdr:row>
      <xdr:rowOff>295275</xdr:rowOff>
    </xdr:to>
    <xdr:grpSp>
      <xdr:nvGrpSpPr>
        <xdr:cNvPr id="1642" name="Group 3050"/>
        <xdr:cNvGrpSpPr>
          <a:grpSpLocks/>
        </xdr:cNvGrpSpPr>
      </xdr:nvGrpSpPr>
      <xdr:grpSpPr bwMode="auto">
        <a:xfrm>
          <a:off x="6124575" y="67684650"/>
          <a:ext cx="1666875" cy="266700"/>
          <a:chOff x="589" y="376"/>
          <a:chExt cx="175" cy="28"/>
        </a:xfrm>
      </xdr:grpSpPr>
      <xdr:sp macro="" textlink="I179">
        <xdr:nvSpPr>
          <xdr:cNvPr id="1643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D05A4D9-A463-4D0E-9D49-9CE6390834C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179">
        <xdr:nvSpPr>
          <xdr:cNvPr id="1644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3E92672-D1E9-474A-AE7B-53E5388922D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179">
        <xdr:nvSpPr>
          <xdr:cNvPr id="1645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C183A2B-DBCB-450F-9785-D391F26AC18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1693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694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172</xdr:row>
      <xdr:rowOff>28575</xdr:rowOff>
    </xdr:from>
    <xdr:to>
      <xdr:col>18</xdr:col>
      <xdr:colOff>1724025</xdr:colOff>
      <xdr:row>172</xdr:row>
      <xdr:rowOff>295275</xdr:rowOff>
    </xdr:to>
    <xdr:grpSp>
      <xdr:nvGrpSpPr>
        <xdr:cNvPr id="1789" name="Group 3050"/>
        <xdr:cNvGrpSpPr>
          <a:grpSpLocks/>
        </xdr:cNvGrpSpPr>
      </xdr:nvGrpSpPr>
      <xdr:grpSpPr bwMode="auto">
        <a:xfrm>
          <a:off x="6124575" y="65684400"/>
          <a:ext cx="1666875" cy="266700"/>
          <a:chOff x="589" y="376"/>
          <a:chExt cx="175" cy="28"/>
        </a:xfrm>
      </xdr:grpSpPr>
      <xdr:sp macro="" textlink="I173">
        <xdr:nvSpPr>
          <xdr:cNvPr id="1790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084CDFA-964C-486F-B6F2-6A529FCDA58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173">
        <xdr:nvSpPr>
          <xdr:cNvPr id="1791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459A40E-9C41-4ECE-A6E0-D0016355578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173">
        <xdr:nvSpPr>
          <xdr:cNvPr id="1792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68C847E-A9FC-41F3-855F-55F6FCAA866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1793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1794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203</xdr:row>
      <xdr:rowOff>47625</xdr:rowOff>
    </xdr:from>
    <xdr:to>
      <xdr:col>18</xdr:col>
      <xdr:colOff>1219200</xdr:colOff>
      <xdr:row>203</xdr:row>
      <xdr:rowOff>276225</xdr:rowOff>
    </xdr:to>
    <xdr:grpSp>
      <xdr:nvGrpSpPr>
        <xdr:cNvPr id="1797" name="Group 4"/>
        <xdr:cNvGrpSpPr>
          <a:grpSpLocks/>
        </xdr:cNvGrpSpPr>
      </xdr:nvGrpSpPr>
      <xdr:grpSpPr bwMode="auto">
        <a:xfrm>
          <a:off x="6124575" y="76761975"/>
          <a:ext cx="1162050" cy="228600"/>
          <a:chOff x="545" y="97"/>
          <a:chExt cx="122" cy="24"/>
        </a:xfrm>
      </xdr:grpSpPr>
      <xdr:sp macro="" textlink="">
        <xdr:nvSpPr>
          <xdr:cNvPr id="1798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04">
        <xdr:nvSpPr>
          <xdr:cNvPr id="1852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085AF2D-B3C4-4F50-8437-260C701A1DB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04">
        <xdr:nvSpPr>
          <xdr:cNvPr id="1853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72B6A13-5899-4F28-BBA9-DE197A3C305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4225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204</xdr:row>
      <xdr:rowOff>57150</xdr:rowOff>
    </xdr:from>
    <xdr:to>
      <xdr:col>18</xdr:col>
      <xdr:colOff>1905000</xdr:colOff>
      <xdr:row>204</xdr:row>
      <xdr:rowOff>647700</xdr:rowOff>
    </xdr:to>
    <xdr:grpSp>
      <xdr:nvGrpSpPr>
        <xdr:cNvPr id="1854" name="Group 2968"/>
        <xdr:cNvGrpSpPr>
          <a:grpSpLocks/>
        </xdr:cNvGrpSpPr>
      </xdr:nvGrpSpPr>
      <xdr:grpSpPr bwMode="auto">
        <a:xfrm>
          <a:off x="6124575" y="77104875"/>
          <a:ext cx="1847850" cy="276225"/>
          <a:chOff x="543" y="12509"/>
          <a:chExt cx="194" cy="62"/>
        </a:xfrm>
      </xdr:grpSpPr>
      <xdr:sp macro="" textlink="">
        <xdr:nvSpPr>
          <xdr:cNvPr id="1855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05">
        <xdr:nvSpPr>
          <xdr:cNvPr id="1868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49088E84-F4B3-4D98-A073-877B14DFF4B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205">
        <xdr:nvSpPr>
          <xdr:cNvPr id="1869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1DB33BA-22C2-4A31-AD72-C755C30A953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205">
        <xdr:nvSpPr>
          <xdr:cNvPr id="1870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B843180-4317-4A9C-8E9E-CC66D9D3936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3025</a:t>
            </a:fld>
            <a:endParaRPr lang="en-US"/>
          </a:p>
        </xdr:txBody>
      </xdr:sp>
      <xdr:sp macro="" textlink="L205">
        <xdr:nvSpPr>
          <xdr:cNvPr id="1998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5B9E1C5-B965-4726-B19B-05F90017BCA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205">
        <xdr:nvSpPr>
          <xdr:cNvPr id="1999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6A1608C-1DC9-49E7-B277-0DB18B79BEB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2010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11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12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205">
        <xdr:nvSpPr>
          <xdr:cNvPr id="2013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E4971AE-0D27-44B7-B0CE-6E510E80DDE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205</xdr:row>
      <xdr:rowOff>47625</xdr:rowOff>
    </xdr:from>
    <xdr:to>
      <xdr:col>18</xdr:col>
      <xdr:colOff>1933575</xdr:colOff>
      <xdr:row>205</xdr:row>
      <xdr:rowOff>285750</xdr:rowOff>
    </xdr:to>
    <xdr:grpSp>
      <xdr:nvGrpSpPr>
        <xdr:cNvPr id="2014" name="Group 3094"/>
        <xdr:cNvGrpSpPr>
          <a:grpSpLocks/>
        </xdr:cNvGrpSpPr>
      </xdr:nvGrpSpPr>
      <xdr:grpSpPr bwMode="auto">
        <a:xfrm>
          <a:off x="6124575" y="77428725"/>
          <a:ext cx="1876425" cy="238125"/>
          <a:chOff x="626" y="613"/>
          <a:chExt cx="197" cy="25"/>
        </a:xfrm>
      </xdr:grpSpPr>
      <xdr:sp macro="" textlink="I206">
        <xdr:nvSpPr>
          <xdr:cNvPr id="2015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93BCDF5-0A24-4B74-8BAA-F90EB5C4271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06">
        <xdr:nvSpPr>
          <xdr:cNvPr id="2016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E1BCC32-FF68-447E-8747-3CB3B71D469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06">
        <xdr:nvSpPr>
          <xdr:cNvPr id="2017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95C61BD-208C-43FE-995C-078B5C15962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2600</a:t>
            </a:fld>
            <a:endParaRPr lang="en-US"/>
          </a:p>
        </xdr:txBody>
      </xdr:sp>
      <xdr:sp macro="" textlink="L206">
        <xdr:nvSpPr>
          <xdr:cNvPr id="2018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7154BCD-A6CF-46D8-AD69-5299483A9DC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06">
        <xdr:nvSpPr>
          <xdr:cNvPr id="2019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75F5F12-56F5-4025-B85E-E9911EAE791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020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021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206</xdr:row>
      <xdr:rowOff>76200</xdr:rowOff>
    </xdr:from>
    <xdr:to>
      <xdr:col>18</xdr:col>
      <xdr:colOff>1400175</xdr:colOff>
      <xdr:row>206</xdr:row>
      <xdr:rowOff>257175</xdr:rowOff>
    </xdr:to>
    <xdr:grpSp>
      <xdr:nvGrpSpPr>
        <xdr:cNvPr id="2025" name="Group 1"/>
        <xdr:cNvGrpSpPr>
          <a:grpSpLocks/>
        </xdr:cNvGrpSpPr>
      </xdr:nvGrpSpPr>
      <xdr:grpSpPr bwMode="auto">
        <a:xfrm>
          <a:off x="6591300" y="77790675"/>
          <a:ext cx="876300" cy="180975"/>
          <a:chOff x="594" y="27"/>
          <a:chExt cx="92" cy="19"/>
        </a:xfrm>
      </xdr:grpSpPr>
      <xdr:sp macro="" textlink="">
        <xdr:nvSpPr>
          <xdr:cNvPr id="2034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07">
        <xdr:nvSpPr>
          <xdr:cNvPr id="2035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4AE1ED1-EA11-4866-A6F2-D5D53CA6551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6225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207</xdr:row>
      <xdr:rowOff>76200</xdr:rowOff>
    </xdr:from>
    <xdr:to>
      <xdr:col>18</xdr:col>
      <xdr:colOff>1400175</xdr:colOff>
      <xdr:row>207</xdr:row>
      <xdr:rowOff>257175</xdr:rowOff>
    </xdr:to>
    <xdr:grpSp>
      <xdr:nvGrpSpPr>
        <xdr:cNvPr id="2039" name="Group 1"/>
        <xdr:cNvGrpSpPr>
          <a:grpSpLocks/>
        </xdr:cNvGrpSpPr>
      </xdr:nvGrpSpPr>
      <xdr:grpSpPr bwMode="auto">
        <a:xfrm>
          <a:off x="6591300" y="78486000"/>
          <a:ext cx="876300" cy="180975"/>
          <a:chOff x="594" y="27"/>
          <a:chExt cx="92" cy="19"/>
        </a:xfrm>
      </xdr:grpSpPr>
      <xdr:sp macro="" textlink="">
        <xdr:nvSpPr>
          <xdr:cNvPr id="2043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08">
        <xdr:nvSpPr>
          <xdr:cNvPr id="2062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040FBB8-9D26-4FC2-865F-107B0DB7FA4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3000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209</xdr:row>
      <xdr:rowOff>66675</xdr:rowOff>
    </xdr:from>
    <xdr:to>
      <xdr:col>18</xdr:col>
      <xdr:colOff>1666875</xdr:colOff>
      <xdr:row>209</xdr:row>
      <xdr:rowOff>247650</xdr:rowOff>
    </xdr:to>
    <xdr:grpSp>
      <xdr:nvGrpSpPr>
        <xdr:cNvPr id="2077" name="Group 3085"/>
        <xdr:cNvGrpSpPr>
          <a:grpSpLocks/>
        </xdr:cNvGrpSpPr>
      </xdr:nvGrpSpPr>
      <xdr:grpSpPr bwMode="auto">
        <a:xfrm>
          <a:off x="6124575" y="79143225"/>
          <a:ext cx="1609725" cy="180975"/>
          <a:chOff x="607" y="1007"/>
          <a:chExt cx="169" cy="19"/>
        </a:xfrm>
      </xdr:grpSpPr>
      <xdr:sp macro="" textlink="">
        <xdr:nvSpPr>
          <xdr:cNvPr id="2078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10">
        <xdr:nvSpPr>
          <xdr:cNvPr id="2079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EDBF0A8-CE3D-4FA3-B7D2-E1E594F0E2C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10">
        <xdr:nvSpPr>
          <xdr:cNvPr id="2098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C0A39E7-4060-45A4-8480-A891D232C7A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6225</a:t>
            </a:fld>
            <a:endParaRPr lang="en-US"/>
          </a:p>
        </xdr:txBody>
      </xdr:sp>
      <xdr:sp macro="" textlink="K210">
        <xdr:nvSpPr>
          <xdr:cNvPr id="2099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597AEA2-AEC0-4410-86BB-4637293C535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210</xdr:row>
      <xdr:rowOff>66675</xdr:rowOff>
    </xdr:from>
    <xdr:to>
      <xdr:col>18</xdr:col>
      <xdr:colOff>1666875</xdr:colOff>
      <xdr:row>210</xdr:row>
      <xdr:rowOff>247650</xdr:rowOff>
    </xdr:to>
    <xdr:grpSp>
      <xdr:nvGrpSpPr>
        <xdr:cNvPr id="2100" name="Group 3085"/>
        <xdr:cNvGrpSpPr>
          <a:grpSpLocks/>
        </xdr:cNvGrpSpPr>
      </xdr:nvGrpSpPr>
      <xdr:grpSpPr bwMode="auto">
        <a:xfrm>
          <a:off x="6124575" y="79838550"/>
          <a:ext cx="1609725" cy="180975"/>
          <a:chOff x="607" y="1007"/>
          <a:chExt cx="169" cy="19"/>
        </a:xfrm>
      </xdr:grpSpPr>
      <xdr:sp macro="" textlink="">
        <xdr:nvSpPr>
          <xdr:cNvPr id="2101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11">
        <xdr:nvSpPr>
          <xdr:cNvPr id="2102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27E5633-18C3-40C3-B826-1E772C8CCD6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11">
        <xdr:nvSpPr>
          <xdr:cNvPr id="2103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70BF795-A424-4830-ACBC-FB5D3A95EA1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6225</a:t>
            </a:fld>
            <a:endParaRPr lang="en-US"/>
          </a:p>
        </xdr:txBody>
      </xdr:sp>
      <xdr:sp macro="" textlink="K211">
        <xdr:nvSpPr>
          <xdr:cNvPr id="2104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47BE82E-2A3B-48E6-8D02-A962E02F6A2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211</xdr:row>
      <xdr:rowOff>76200</xdr:rowOff>
    </xdr:from>
    <xdr:to>
      <xdr:col>18</xdr:col>
      <xdr:colOff>1400175</xdr:colOff>
      <xdr:row>211</xdr:row>
      <xdr:rowOff>257175</xdr:rowOff>
    </xdr:to>
    <xdr:grpSp>
      <xdr:nvGrpSpPr>
        <xdr:cNvPr id="2108" name="Group 1"/>
        <xdr:cNvGrpSpPr>
          <a:grpSpLocks/>
        </xdr:cNvGrpSpPr>
      </xdr:nvGrpSpPr>
      <xdr:grpSpPr bwMode="auto">
        <a:xfrm>
          <a:off x="6591300" y="80181450"/>
          <a:ext cx="876300" cy="180975"/>
          <a:chOff x="594" y="27"/>
          <a:chExt cx="92" cy="19"/>
        </a:xfrm>
      </xdr:grpSpPr>
      <xdr:sp macro="" textlink="">
        <xdr:nvSpPr>
          <xdr:cNvPr id="2109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12">
        <xdr:nvSpPr>
          <xdr:cNvPr id="2110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C6B7553-9278-4463-A164-1D50F53E4A3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6225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212</xdr:row>
      <xdr:rowOff>28575</xdr:rowOff>
    </xdr:from>
    <xdr:to>
      <xdr:col>18</xdr:col>
      <xdr:colOff>1724025</xdr:colOff>
      <xdr:row>212</xdr:row>
      <xdr:rowOff>295275</xdr:rowOff>
    </xdr:to>
    <xdr:grpSp>
      <xdr:nvGrpSpPr>
        <xdr:cNvPr id="2111" name="Group 3050"/>
        <xdr:cNvGrpSpPr>
          <a:grpSpLocks/>
        </xdr:cNvGrpSpPr>
      </xdr:nvGrpSpPr>
      <xdr:grpSpPr bwMode="auto">
        <a:xfrm>
          <a:off x="6124575" y="80467200"/>
          <a:ext cx="1666875" cy="266700"/>
          <a:chOff x="589" y="376"/>
          <a:chExt cx="175" cy="28"/>
        </a:xfrm>
      </xdr:grpSpPr>
      <xdr:sp macro="" textlink="I213">
        <xdr:nvSpPr>
          <xdr:cNvPr id="2112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7219839-95F0-49CD-9766-40050895055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213">
        <xdr:nvSpPr>
          <xdr:cNvPr id="2113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0E9CD1E-D1C4-4FA7-AF01-8AD1A6E89A8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13">
        <xdr:nvSpPr>
          <xdr:cNvPr id="2114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4F6850C-0EDC-4663-A06F-68F9F51886D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115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116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208</xdr:row>
      <xdr:rowOff>28575</xdr:rowOff>
    </xdr:from>
    <xdr:to>
      <xdr:col>18</xdr:col>
      <xdr:colOff>1724025</xdr:colOff>
      <xdr:row>208</xdr:row>
      <xdr:rowOff>295275</xdr:rowOff>
    </xdr:to>
    <xdr:grpSp>
      <xdr:nvGrpSpPr>
        <xdr:cNvPr id="2123" name="Group 3050"/>
        <xdr:cNvGrpSpPr>
          <a:grpSpLocks/>
        </xdr:cNvGrpSpPr>
      </xdr:nvGrpSpPr>
      <xdr:grpSpPr bwMode="auto">
        <a:xfrm>
          <a:off x="6124575" y="78771750"/>
          <a:ext cx="1666875" cy="266700"/>
          <a:chOff x="589" y="376"/>
          <a:chExt cx="175" cy="28"/>
        </a:xfrm>
      </xdr:grpSpPr>
      <xdr:sp macro="" textlink="I196">
        <xdr:nvSpPr>
          <xdr:cNvPr id="2124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7FD3054-6A45-4CC6-AF71-0038113811B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196">
        <xdr:nvSpPr>
          <xdr:cNvPr id="2125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162BBF0-A4AA-4C81-9499-D2DB093550F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196">
        <xdr:nvSpPr>
          <xdr:cNvPr id="2126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E8C46D3-B0F2-4B3C-BEA5-C216E7F03E6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127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128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213</xdr:row>
      <xdr:rowOff>66675</xdr:rowOff>
    </xdr:from>
    <xdr:to>
      <xdr:col>18</xdr:col>
      <xdr:colOff>1666875</xdr:colOff>
      <xdr:row>213</xdr:row>
      <xdr:rowOff>247650</xdr:rowOff>
    </xdr:to>
    <xdr:grpSp>
      <xdr:nvGrpSpPr>
        <xdr:cNvPr id="2129" name="Group 3085"/>
        <xdr:cNvGrpSpPr>
          <a:grpSpLocks/>
        </xdr:cNvGrpSpPr>
      </xdr:nvGrpSpPr>
      <xdr:grpSpPr bwMode="auto">
        <a:xfrm>
          <a:off x="6124575" y="81200625"/>
          <a:ext cx="1609725" cy="180975"/>
          <a:chOff x="607" y="1007"/>
          <a:chExt cx="169" cy="19"/>
        </a:xfrm>
      </xdr:grpSpPr>
      <xdr:sp macro="" textlink="">
        <xdr:nvSpPr>
          <xdr:cNvPr id="2130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14">
        <xdr:nvSpPr>
          <xdr:cNvPr id="2131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04FE0CA-2A07-4A93-8CA6-8D6794E8083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14">
        <xdr:nvSpPr>
          <xdr:cNvPr id="2132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39ED93B-1F49-4E99-AB6E-F0F93A031A5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2013</a:t>
            </a:fld>
            <a:endParaRPr lang="en-US"/>
          </a:p>
        </xdr:txBody>
      </xdr:sp>
      <xdr:sp macro="" textlink="K214">
        <xdr:nvSpPr>
          <xdr:cNvPr id="2133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FE742DD2-2DC3-40C0-A085-DE121E73087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214</xdr:row>
      <xdr:rowOff>28575</xdr:rowOff>
    </xdr:from>
    <xdr:to>
      <xdr:col>18</xdr:col>
      <xdr:colOff>1724025</xdr:colOff>
      <xdr:row>214</xdr:row>
      <xdr:rowOff>295275</xdr:rowOff>
    </xdr:to>
    <xdr:grpSp>
      <xdr:nvGrpSpPr>
        <xdr:cNvPr id="2158" name="Group 3050"/>
        <xdr:cNvGrpSpPr>
          <a:grpSpLocks/>
        </xdr:cNvGrpSpPr>
      </xdr:nvGrpSpPr>
      <xdr:grpSpPr bwMode="auto">
        <a:xfrm>
          <a:off x="6124575" y="81495900"/>
          <a:ext cx="1666875" cy="266700"/>
          <a:chOff x="589" y="376"/>
          <a:chExt cx="175" cy="28"/>
        </a:xfrm>
      </xdr:grpSpPr>
      <xdr:sp macro="" textlink="I215">
        <xdr:nvSpPr>
          <xdr:cNvPr id="2159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B5FFBDA-97CD-46E5-8543-C41554F652E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215">
        <xdr:nvSpPr>
          <xdr:cNvPr id="2160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41AF546-70F7-4363-BC6B-40C2BB13526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15">
        <xdr:nvSpPr>
          <xdr:cNvPr id="2161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755EF7A-F279-4D8C-BA19-19C67F4ED79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162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163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215</xdr:row>
      <xdr:rowOff>47625</xdr:rowOff>
    </xdr:from>
    <xdr:to>
      <xdr:col>18</xdr:col>
      <xdr:colOff>1933575</xdr:colOff>
      <xdr:row>215</xdr:row>
      <xdr:rowOff>285750</xdr:rowOff>
    </xdr:to>
    <xdr:grpSp>
      <xdr:nvGrpSpPr>
        <xdr:cNvPr id="2164" name="Group 3094"/>
        <xdr:cNvGrpSpPr>
          <a:grpSpLocks/>
        </xdr:cNvGrpSpPr>
      </xdr:nvGrpSpPr>
      <xdr:grpSpPr bwMode="auto">
        <a:xfrm>
          <a:off x="6124575" y="81848325"/>
          <a:ext cx="1876425" cy="238125"/>
          <a:chOff x="626" y="613"/>
          <a:chExt cx="197" cy="25"/>
        </a:xfrm>
      </xdr:grpSpPr>
      <xdr:sp macro="" textlink="I216">
        <xdr:nvSpPr>
          <xdr:cNvPr id="2165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5133E98-96ED-462B-942C-4EE6DCC37A5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16">
        <xdr:nvSpPr>
          <xdr:cNvPr id="2166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B4948F3-720F-4BC3-8E7A-821A6CA0164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16">
        <xdr:nvSpPr>
          <xdr:cNvPr id="2167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A475A75-01D9-4CAC-AF0F-27DF837E097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2938</a:t>
            </a:fld>
            <a:endParaRPr lang="en-US"/>
          </a:p>
        </xdr:txBody>
      </xdr:sp>
      <xdr:sp macro="" textlink="L216">
        <xdr:nvSpPr>
          <xdr:cNvPr id="2168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80E68B3-BE59-47AC-B004-BF415BC823D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M216">
        <xdr:nvSpPr>
          <xdr:cNvPr id="2169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9192BC1-F56F-4894-80AC-6D902EDB8B6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182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183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216</xdr:row>
      <xdr:rowOff>47625</xdr:rowOff>
    </xdr:from>
    <xdr:to>
      <xdr:col>18</xdr:col>
      <xdr:colOff>1219200</xdr:colOff>
      <xdr:row>216</xdr:row>
      <xdr:rowOff>276225</xdr:rowOff>
    </xdr:to>
    <xdr:grpSp>
      <xdr:nvGrpSpPr>
        <xdr:cNvPr id="2196" name="Group 4"/>
        <xdr:cNvGrpSpPr>
          <a:grpSpLocks/>
        </xdr:cNvGrpSpPr>
      </xdr:nvGrpSpPr>
      <xdr:grpSpPr bwMode="auto">
        <a:xfrm>
          <a:off x="6124575" y="82181700"/>
          <a:ext cx="1162050" cy="228600"/>
          <a:chOff x="545" y="97"/>
          <a:chExt cx="122" cy="24"/>
        </a:xfrm>
      </xdr:grpSpPr>
      <xdr:sp macro="" textlink="">
        <xdr:nvSpPr>
          <xdr:cNvPr id="2197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17">
        <xdr:nvSpPr>
          <xdr:cNvPr id="2198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5C53EAB-248F-43D4-897C-130C7871E05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17">
        <xdr:nvSpPr>
          <xdr:cNvPr id="2199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F2ED6F8-B6B3-4370-BA91-785F5A32611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3938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217</xdr:row>
      <xdr:rowOff>47625</xdr:rowOff>
    </xdr:from>
    <xdr:to>
      <xdr:col>18</xdr:col>
      <xdr:colOff>1933575</xdr:colOff>
      <xdr:row>217</xdr:row>
      <xdr:rowOff>285750</xdr:rowOff>
    </xdr:to>
    <xdr:grpSp>
      <xdr:nvGrpSpPr>
        <xdr:cNvPr id="2226" name="Group 3094"/>
        <xdr:cNvGrpSpPr>
          <a:grpSpLocks/>
        </xdr:cNvGrpSpPr>
      </xdr:nvGrpSpPr>
      <xdr:grpSpPr bwMode="auto">
        <a:xfrm>
          <a:off x="6124575" y="82515075"/>
          <a:ext cx="1876425" cy="238125"/>
          <a:chOff x="626" y="613"/>
          <a:chExt cx="197" cy="25"/>
        </a:xfrm>
      </xdr:grpSpPr>
      <xdr:sp macro="" textlink="I218">
        <xdr:nvSpPr>
          <xdr:cNvPr id="2227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FEB6B67-F47A-4F59-B2B5-BFB7E956E0F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18">
        <xdr:nvSpPr>
          <xdr:cNvPr id="2228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1048963-24A7-4D54-A194-AEBC8036E0A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18">
        <xdr:nvSpPr>
          <xdr:cNvPr id="2229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90A3088-8ACE-439E-84BE-DA070DB0C90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4480</a:t>
            </a:fld>
            <a:endParaRPr lang="en-US"/>
          </a:p>
        </xdr:txBody>
      </xdr:sp>
      <xdr:sp macro="" textlink="L218">
        <xdr:nvSpPr>
          <xdr:cNvPr id="2230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C94F9C6-C13A-4A56-A149-A09E4BD4F48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M218">
        <xdr:nvSpPr>
          <xdr:cNvPr id="2231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988D3BE-0D4C-4920-BDE6-AD2F465614E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232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233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218</xdr:row>
      <xdr:rowOff>76200</xdr:rowOff>
    </xdr:from>
    <xdr:to>
      <xdr:col>18</xdr:col>
      <xdr:colOff>1400175</xdr:colOff>
      <xdr:row>218</xdr:row>
      <xdr:rowOff>257175</xdr:rowOff>
    </xdr:to>
    <xdr:grpSp>
      <xdr:nvGrpSpPr>
        <xdr:cNvPr id="2237" name="Group 1"/>
        <xdr:cNvGrpSpPr>
          <a:grpSpLocks/>
        </xdr:cNvGrpSpPr>
      </xdr:nvGrpSpPr>
      <xdr:grpSpPr bwMode="auto">
        <a:xfrm>
          <a:off x="6591300" y="82877025"/>
          <a:ext cx="876300" cy="180975"/>
          <a:chOff x="594" y="27"/>
          <a:chExt cx="92" cy="19"/>
        </a:xfrm>
      </xdr:grpSpPr>
      <xdr:sp macro="" textlink="">
        <xdr:nvSpPr>
          <xdr:cNvPr id="2238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19">
        <xdr:nvSpPr>
          <xdr:cNvPr id="2239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FFC2315-6102-4F55-9F59-C37AF5DC99C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3000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219</xdr:row>
      <xdr:rowOff>57150</xdr:rowOff>
    </xdr:from>
    <xdr:to>
      <xdr:col>18</xdr:col>
      <xdr:colOff>1905000</xdr:colOff>
      <xdr:row>219</xdr:row>
      <xdr:rowOff>647700</xdr:rowOff>
    </xdr:to>
    <xdr:grpSp>
      <xdr:nvGrpSpPr>
        <xdr:cNvPr id="2240" name="Group 2968"/>
        <xdr:cNvGrpSpPr>
          <a:grpSpLocks/>
        </xdr:cNvGrpSpPr>
      </xdr:nvGrpSpPr>
      <xdr:grpSpPr bwMode="auto">
        <a:xfrm>
          <a:off x="6124575" y="83191350"/>
          <a:ext cx="1847850" cy="276225"/>
          <a:chOff x="543" y="12509"/>
          <a:chExt cx="194" cy="62"/>
        </a:xfrm>
      </xdr:grpSpPr>
      <xdr:sp macro="" textlink="">
        <xdr:nvSpPr>
          <xdr:cNvPr id="2241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20">
        <xdr:nvSpPr>
          <xdr:cNvPr id="2242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C63A1AA-EDC3-45D3-9D80-8B64E8BBC94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220">
        <xdr:nvSpPr>
          <xdr:cNvPr id="2243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FF0392F8-024D-444B-909C-C8B6208D75E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220">
        <xdr:nvSpPr>
          <xdr:cNvPr id="2244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BE64AFB-FDA2-45E5-B512-32C79A7C100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2870</a:t>
            </a:fld>
            <a:endParaRPr lang="en-US"/>
          </a:p>
        </xdr:txBody>
      </xdr:sp>
      <xdr:sp macro="" textlink="L220">
        <xdr:nvSpPr>
          <xdr:cNvPr id="2245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6496525-4DBA-47CA-972D-2CEC5E706A5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220">
        <xdr:nvSpPr>
          <xdr:cNvPr id="2246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0F926BB-C515-4AF5-8120-3A3B1D61787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2247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248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249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220">
        <xdr:nvSpPr>
          <xdr:cNvPr id="2250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C8FCA19-C534-4E8E-A2FB-B296F57EF5E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220</xdr:row>
      <xdr:rowOff>76200</xdr:rowOff>
    </xdr:from>
    <xdr:to>
      <xdr:col>18</xdr:col>
      <xdr:colOff>1400175</xdr:colOff>
      <xdr:row>220</xdr:row>
      <xdr:rowOff>257175</xdr:rowOff>
    </xdr:to>
    <xdr:grpSp>
      <xdr:nvGrpSpPr>
        <xdr:cNvPr id="2254" name="Group 1"/>
        <xdr:cNvGrpSpPr>
          <a:grpSpLocks/>
        </xdr:cNvGrpSpPr>
      </xdr:nvGrpSpPr>
      <xdr:grpSpPr bwMode="auto">
        <a:xfrm>
          <a:off x="6591300" y="83543775"/>
          <a:ext cx="876300" cy="180975"/>
          <a:chOff x="594" y="27"/>
          <a:chExt cx="92" cy="19"/>
        </a:xfrm>
      </xdr:grpSpPr>
      <xdr:sp macro="" textlink="">
        <xdr:nvSpPr>
          <xdr:cNvPr id="2255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21">
        <xdr:nvSpPr>
          <xdr:cNvPr id="2256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EBC49F5-6FF2-4134-A2DE-3B74165EED3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5625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221</xdr:row>
      <xdr:rowOff>47625</xdr:rowOff>
    </xdr:from>
    <xdr:to>
      <xdr:col>18</xdr:col>
      <xdr:colOff>1219200</xdr:colOff>
      <xdr:row>221</xdr:row>
      <xdr:rowOff>276225</xdr:rowOff>
    </xdr:to>
    <xdr:grpSp>
      <xdr:nvGrpSpPr>
        <xdr:cNvPr id="2257" name="Group 4"/>
        <xdr:cNvGrpSpPr>
          <a:grpSpLocks/>
        </xdr:cNvGrpSpPr>
      </xdr:nvGrpSpPr>
      <xdr:grpSpPr bwMode="auto">
        <a:xfrm>
          <a:off x="6124575" y="83848575"/>
          <a:ext cx="1162050" cy="228600"/>
          <a:chOff x="545" y="97"/>
          <a:chExt cx="122" cy="24"/>
        </a:xfrm>
      </xdr:grpSpPr>
      <xdr:sp macro="" textlink="">
        <xdr:nvSpPr>
          <xdr:cNvPr id="2258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22">
        <xdr:nvSpPr>
          <xdr:cNvPr id="2259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E733B5E-67DC-4CA2-A1FA-6660004E361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22">
        <xdr:nvSpPr>
          <xdr:cNvPr id="2260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70379CD-1B44-40DD-92A1-0D2403B9B6A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5980</a:t>
            </a:fld>
            <a:endParaRPr lang="en-US"/>
          </a:p>
        </xdr:txBody>
      </xdr:sp>
    </xdr:grpSp>
    <xdr:clientData/>
  </xdr:twoCellAnchor>
  <xdr:twoCellAnchor>
    <xdr:from>
      <xdr:col>18</xdr:col>
      <xdr:colOff>47625</xdr:colOff>
      <xdr:row>222</xdr:row>
      <xdr:rowOff>19050</xdr:rowOff>
    </xdr:from>
    <xdr:to>
      <xdr:col>18</xdr:col>
      <xdr:colOff>1905000</xdr:colOff>
      <xdr:row>222</xdr:row>
      <xdr:rowOff>304800</xdr:rowOff>
    </xdr:to>
    <xdr:grpSp>
      <xdr:nvGrpSpPr>
        <xdr:cNvPr id="2261" name="Group 3092"/>
        <xdr:cNvGrpSpPr>
          <a:grpSpLocks/>
        </xdr:cNvGrpSpPr>
      </xdr:nvGrpSpPr>
      <xdr:grpSpPr bwMode="auto">
        <a:xfrm>
          <a:off x="6115050" y="84153375"/>
          <a:ext cx="1857375" cy="285750"/>
          <a:chOff x="606" y="2035"/>
          <a:chExt cx="195" cy="30"/>
        </a:xfrm>
      </xdr:grpSpPr>
      <xdr:sp macro="" textlink="I223">
        <xdr:nvSpPr>
          <xdr:cNvPr id="2262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F22450C-5328-4BDB-8941-3C098BED414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23">
        <xdr:nvSpPr>
          <xdr:cNvPr id="2263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6CC521F-8CA5-4D4C-82A7-ACDAC337079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23">
        <xdr:nvSpPr>
          <xdr:cNvPr id="2264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9438148-CA5F-42BA-9BC3-5BDD1D47B2C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5870</a:t>
            </a:fld>
            <a:endParaRPr lang="en-US"/>
          </a:p>
        </xdr:txBody>
      </xdr:sp>
      <xdr:sp macro="" textlink="">
        <xdr:nvSpPr>
          <xdr:cNvPr id="2265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223">
        <xdr:nvSpPr>
          <xdr:cNvPr id="2266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BE911A7-C586-4D0B-AAE9-E1FA4691C03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267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223</xdr:row>
      <xdr:rowOff>57150</xdr:rowOff>
    </xdr:from>
    <xdr:to>
      <xdr:col>18</xdr:col>
      <xdr:colOff>1905000</xdr:colOff>
      <xdr:row>223</xdr:row>
      <xdr:rowOff>647700</xdr:rowOff>
    </xdr:to>
    <xdr:grpSp>
      <xdr:nvGrpSpPr>
        <xdr:cNvPr id="2268" name="Group 2968"/>
        <xdr:cNvGrpSpPr>
          <a:grpSpLocks/>
        </xdr:cNvGrpSpPr>
      </xdr:nvGrpSpPr>
      <xdr:grpSpPr bwMode="auto">
        <a:xfrm>
          <a:off x="6124575" y="84524850"/>
          <a:ext cx="1847850" cy="276225"/>
          <a:chOff x="543" y="12509"/>
          <a:chExt cx="194" cy="62"/>
        </a:xfrm>
      </xdr:grpSpPr>
      <xdr:sp macro="" textlink="">
        <xdr:nvSpPr>
          <xdr:cNvPr id="2269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24">
        <xdr:nvSpPr>
          <xdr:cNvPr id="2270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AE6F980-3BF8-4FAB-9020-B7A6F77A209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224">
        <xdr:nvSpPr>
          <xdr:cNvPr id="2271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42C6DA3-8CE9-4131-8E14-B47D3789F75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224">
        <xdr:nvSpPr>
          <xdr:cNvPr id="2272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2400B12-D839-494A-9AF3-BC94806126A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  <xdr:sp macro="" textlink="L224">
        <xdr:nvSpPr>
          <xdr:cNvPr id="2273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CB516B13-5FC0-4395-A86F-90ACBBFCAB8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224">
        <xdr:nvSpPr>
          <xdr:cNvPr id="2274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45ED56F-C5E4-4A30-9F15-2ED24F399E8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2275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276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277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224">
        <xdr:nvSpPr>
          <xdr:cNvPr id="2278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0BDAC9A-9C06-4BA4-99A1-1B80A7607D9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224</xdr:row>
      <xdr:rowOff>47625</xdr:rowOff>
    </xdr:from>
    <xdr:to>
      <xdr:col>18</xdr:col>
      <xdr:colOff>1933575</xdr:colOff>
      <xdr:row>224</xdr:row>
      <xdr:rowOff>285750</xdr:rowOff>
    </xdr:to>
    <xdr:grpSp>
      <xdr:nvGrpSpPr>
        <xdr:cNvPr id="1778" name="Group 3094"/>
        <xdr:cNvGrpSpPr>
          <a:grpSpLocks/>
        </xdr:cNvGrpSpPr>
      </xdr:nvGrpSpPr>
      <xdr:grpSpPr bwMode="auto">
        <a:xfrm>
          <a:off x="6124575" y="84848700"/>
          <a:ext cx="1876425" cy="238125"/>
          <a:chOff x="626" y="613"/>
          <a:chExt cx="197" cy="25"/>
        </a:xfrm>
      </xdr:grpSpPr>
      <xdr:sp macro="" textlink="I225">
        <xdr:nvSpPr>
          <xdr:cNvPr id="1779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51CB648-6799-46AD-B141-7381F87D01B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25">
        <xdr:nvSpPr>
          <xdr:cNvPr id="1780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C9338BF-80A0-4283-A17E-9E09A6470F6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25">
        <xdr:nvSpPr>
          <xdr:cNvPr id="1795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7D56D0A-0AE9-4952-807A-860147EF3CF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4480</a:t>
            </a:fld>
            <a:endParaRPr lang="en-US"/>
          </a:p>
        </xdr:txBody>
      </xdr:sp>
      <xdr:sp macro="" textlink="L225">
        <xdr:nvSpPr>
          <xdr:cNvPr id="1796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9D124A7-7D06-487D-9A32-F20EC9BEB57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M225">
        <xdr:nvSpPr>
          <xdr:cNvPr id="202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E236006-FE2C-48BA-9769-453D0940D5A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02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02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225</xdr:row>
      <xdr:rowOff>76200</xdr:rowOff>
    </xdr:from>
    <xdr:to>
      <xdr:col>18</xdr:col>
      <xdr:colOff>1400175</xdr:colOff>
      <xdr:row>225</xdr:row>
      <xdr:rowOff>257175</xdr:rowOff>
    </xdr:to>
    <xdr:grpSp>
      <xdr:nvGrpSpPr>
        <xdr:cNvPr id="2036" name="Group 1"/>
        <xdr:cNvGrpSpPr>
          <a:grpSpLocks/>
        </xdr:cNvGrpSpPr>
      </xdr:nvGrpSpPr>
      <xdr:grpSpPr bwMode="auto">
        <a:xfrm>
          <a:off x="6591300" y="85210650"/>
          <a:ext cx="876300" cy="180975"/>
          <a:chOff x="594" y="27"/>
          <a:chExt cx="92" cy="19"/>
        </a:xfrm>
      </xdr:grpSpPr>
      <xdr:sp macro="" textlink="">
        <xdr:nvSpPr>
          <xdr:cNvPr id="2037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26">
        <xdr:nvSpPr>
          <xdr:cNvPr id="2038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9995B89-CD47-435C-ACEA-D6C0342F710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3000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226</xdr:row>
      <xdr:rowOff>57150</xdr:rowOff>
    </xdr:from>
    <xdr:to>
      <xdr:col>18</xdr:col>
      <xdr:colOff>1905000</xdr:colOff>
      <xdr:row>226</xdr:row>
      <xdr:rowOff>647700</xdr:rowOff>
    </xdr:to>
    <xdr:grpSp>
      <xdr:nvGrpSpPr>
        <xdr:cNvPr id="2063" name="Group 2968"/>
        <xdr:cNvGrpSpPr>
          <a:grpSpLocks/>
        </xdr:cNvGrpSpPr>
      </xdr:nvGrpSpPr>
      <xdr:grpSpPr bwMode="auto">
        <a:xfrm>
          <a:off x="6124575" y="85524975"/>
          <a:ext cx="1847850" cy="276225"/>
          <a:chOff x="543" y="12509"/>
          <a:chExt cx="194" cy="62"/>
        </a:xfrm>
      </xdr:grpSpPr>
      <xdr:sp macro="" textlink="">
        <xdr:nvSpPr>
          <xdr:cNvPr id="2064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27">
        <xdr:nvSpPr>
          <xdr:cNvPr id="2065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4A640A24-6F65-4480-8B9A-71AF3F9D3F9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227">
        <xdr:nvSpPr>
          <xdr:cNvPr id="2066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D6E62E1-41CB-4A4E-8781-FDD6D385DA3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227">
        <xdr:nvSpPr>
          <xdr:cNvPr id="2067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F64C6C5-C57D-4D01-AFF8-90C2FB6F317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2870</a:t>
            </a:fld>
            <a:endParaRPr lang="en-US"/>
          </a:p>
        </xdr:txBody>
      </xdr:sp>
      <xdr:sp macro="" textlink="L227">
        <xdr:nvSpPr>
          <xdr:cNvPr id="2068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0192A61-9B30-478F-A1B6-0591E31DD98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227">
        <xdr:nvSpPr>
          <xdr:cNvPr id="2069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A0FBC10-7366-4992-BA5E-1DAB5B70F4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2070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71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72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227">
        <xdr:nvSpPr>
          <xdr:cNvPr id="2073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592B164-2D3B-4825-9B6A-747E9205265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227</xdr:row>
      <xdr:rowOff>47625</xdr:rowOff>
    </xdr:from>
    <xdr:to>
      <xdr:col>18</xdr:col>
      <xdr:colOff>1219200</xdr:colOff>
      <xdr:row>227</xdr:row>
      <xdr:rowOff>276225</xdr:rowOff>
    </xdr:to>
    <xdr:grpSp>
      <xdr:nvGrpSpPr>
        <xdr:cNvPr id="2106" name="Group 4"/>
        <xdr:cNvGrpSpPr>
          <a:grpSpLocks/>
        </xdr:cNvGrpSpPr>
      </xdr:nvGrpSpPr>
      <xdr:grpSpPr bwMode="auto">
        <a:xfrm>
          <a:off x="6124575" y="85848825"/>
          <a:ext cx="1162050" cy="228600"/>
          <a:chOff x="545" y="97"/>
          <a:chExt cx="122" cy="24"/>
        </a:xfrm>
      </xdr:grpSpPr>
      <xdr:sp macro="" textlink="">
        <xdr:nvSpPr>
          <xdr:cNvPr id="2107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28">
        <xdr:nvSpPr>
          <xdr:cNvPr id="2117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26A48D2-5ADC-4FDD-8F37-40C4F879F72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28">
        <xdr:nvSpPr>
          <xdr:cNvPr id="2118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62F0C7B-7DE0-4CBD-A576-93EF9F6C580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5980</a:t>
            </a:fld>
            <a:endParaRPr lang="en-US"/>
          </a:p>
        </xdr:txBody>
      </xdr:sp>
    </xdr:grpSp>
    <xdr:clientData/>
  </xdr:twoCellAnchor>
  <xdr:twoCellAnchor>
    <xdr:from>
      <xdr:col>18</xdr:col>
      <xdr:colOff>47625</xdr:colOff>
      <xdr:row>228</xdr:row>
      <xdr:rowOff>19050</xdr:rowOff>
    </xdr:from>
    <xdr:to>
      <xdr:col>18</xdr:col>
      <xdr:colOff>1905000</xdr:colOff>
      <xdr:row>228</xdr:row>
      <xdr:rowOff>304800</xdr:rowOff>
    </xdr:to>
    <xdr:grpSp>
      <xdr:nvGrpSpPr>
        <xdr:cNvPr id="2119" name="Group 3092"/>
        <xdr:cNvGrpSpPr>
          <a:grpSpLocks/>
        </xdr:cNvGrpSpPr>
      </xdr:nvGrpSpPr>
      <xdr:grpSpPr bwMode="auto">
        <a:xfrm>
          <a:off x="6115050" y="86153625"/>
          <a:ext cx="1857375" cy="285750"/>
          <a:chOff x="606" y="2035"/>
          <a:chExt cx="195" cy="30"/>
        </a:xfrm>
      </xdr:grpSpPr>
      <xdr:sp macro="" textlink="I229">
        <xdr:nvSpPr>
          <xdr:cNvPr id="2120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A0B6CA4-72EE-4436-8BF6-A217AF8520C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29">
        <xdr:nvSpPr>
          <xdr:cNvPr id="2121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1902CB1-DF3F-413C-A60B-D66FA3B031A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29">
        <xdr:nvSpPr>
          <xdr:cNvPr id="2122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160ABC1-16B6-4FC6-80C4-B40C852AF5C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5870</a:t>
            </a:fld>
            <a:endParaRPr lang="en-US"/>
          </a:p>
        </xdr:txBody>
      </xdr:sp>
      <xdr:sp macro="" textlink="">
        <xdr:nvSpPr>
          <xdr:cNvPr id="2184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229">
        <xdr:nvSpPr>
          <xdr:cNvPr id="2185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E236A56-B343-4FED-B51E-EA501157716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186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229</xdr:row>
      <xdr:rowOff>57150</xdr:rowOff>
    </xdr:from>
    <xdr:to>
      <xdr:col>18</xdr:col>
      <xdr:colOff>1905000</xdr:colOff>
      <xdr:row>229</xdr:row>
      <xdr:rowOff>647700</xdr:rowOff>
    </xdr:to>
    <xdr:grpSp>
      <xdr:nvGrpSpPr>
        <xdr:cNvPr id="2187" name="Group 2968"/>
        <xdr:cNvGrpSpPr>
          <a:grpSpLocks/>
        </xdr:cNvGrpSpPr>
      </xdr:nvGrpSpPr>
      <xdr:grpSpPr bwMode="auto">
        <a:xfrm>
          <a:off x="6124575" y="86525100"/>
          <a:ext cx="1847850" cy="276225"/>
          <a:chOff x="543" y="12509"/>
          <a:chExt cx="194" cy="62"/>
        </a:xfrm>
      </xdr:grpSpPr>
      <xdr:sp macro="" textlink="">
        <xdr:nvSpPr>
          <xdr:cNvPr id="2188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30">
        <xdr:nvSpPr>
          <xdr:cNvPr id="2189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856813A-7A75-42DB-BCDD-3FAD8F43F73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230">
        <xdr:nvSpPr>
          <xdr:cNvPr id="2190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2552A1E-3FC1-4074-B29E-69B67175427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230">
        <xdr:nvSpPr>
          <xdr:cNvPr id="2191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1DFFB66-0558-48F3-B44F-3C6F5C4BD0F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  <xdr:sp macro="" textlink="L230">
        <xdr:nvSpPr>
          <xdr:cNvPr id="2192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CC8E99DC-D3A7-4068-9695-E45C5A31927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230">
        <xdr:nvSpPr>
          <xdr:cNvPr id="2193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4C62CDF-6BFB-4840-911C-A43BE5A340C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2194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195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234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230">
        <xdr:nvSpPr>
          <xdr:cNvPr id="2235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8163CF7-E6B7-4279-B4F8-1160EE76DB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230</xdr:row>
      <xdr:rowOff>76200</xdr:rowOff>
    </xdr:from>
    <xdr:to>
      <xdr:col>18</xdr:col>
      <xdr:colOff>1400175</xdr:colOff>
      <xdr:row>230</xdr:row>
      <xdr:rowOff>257175</xdr:rowOff>
    </xdr:to>
    <xdr:grpSp>
      <xdr:nvGrpSpPr>
        <xdr:cNvPr id="2253" name="Group 1"/>
        <xdr:cNvGrpSpPr>
          <a:grpSpLocks/>
        </xdr:cNvGrpSpPr>
      </xdr:nvGrpSpPr>
      <xdr:grpSpPr bwMode="auto">
        <a:xfrm>
          <a:off x="6591300" y="86877525"/>
          <a:ext cx="876300" cy="180975"/>
          <a:chOff x="594" y="27"/>
          <a:chExt cx="92" cy="19"/>
        </a:xfrm>
      </xdr:grpSpPr>
      <xdr:sp macro="" textlink="">
        <xdr:nvSpPr>
          <xdr:cNvPr id="2279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31">
        <xdr:nvSpPr>
          <xdr:cNvPr id="2280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2F3D293-857B-416A-8188-8ED6EFD5D86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5625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231</xdr:row>
      <xdr:rowOff>28575</xdr:rowOff>
    </xdr:from>
    <xdr:to>
      <xdr:col>18</xdr:col>
      <xdr:colOff>1724025</xdr:colOff>
      <xdr:row>231</xdr:row>
      <xdr:rowOff>295275</xdr:rowOff>
    </xdr:to>
    <xdr:grpSp>
      <xdr:nvGrpSpPr>
        <xdr:cNvPr id="2281" name="Group 3050"/>
        <xdr:cNvGrpSpPr>
          <a:grpSpLocks/>
        </xdr:cNvGrpSpPr>
      </xdr:nvGrpSpPr>
      <xdr:grpSpPr bwMode="auto">
        <a:xfrm>
          <a:off x="6124575" y="87163275"/>
          <a:ext cx="1666875" cy="266700"/>
          <a:chOff x="589" y="376"/>
          <a:chExt cx="175" cy="28"/>
        </a:xfrm>
      </xdr:grpSpPr>
      <xdr:sp macro="" textlink="I232">
        <xdr:nvSpPr>
          <xdr:cNvPr id="2282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3006768-9A4A-4F00-B1BF-D5EB3219460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232">
        <xdr:nvSpPr>
          <xdr:cNvPr id="2283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57930A3-C904-482B-8E0C-9DB8C838A94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32">
        <xdr:nvSpPr>
          <xdr:cNvPr id="2284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9A03635-D00B-4E0A-993E-BE5DE8553A4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285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286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233</xdr:row>
      <xdr:rowOff>19050</xdr:rowOff>
    </xdr:from>
    <xdr:to>
      <xdr:col>18</xdr:col>
      <xdr:colOff>1905000</xdr:colOff>
      <xdr:row>233</xdr:row>
      <xdr:rowOff>304800</xdr:rowOff>
    </xdr:to>
    <xdr:grpSp>
      <xdr:nvGrpSpPr>
        <xdr:cNvPr id="2287" name="Group 3092"/>
        <xdr:cNvGrpSpPr>
          <a:grpSpLocks/>
        </xdr:cNvGrpSpPr>
      </xdr:nvGrpSpPr>
      <xdr:grpSpPr bwMode="auto">
        <a:xfrm>
          <a:off x="6115050" y="87820500"/>
          <a:ext cx="1857375" cy="285750"/>
          <a:chOff x="606" y="2035"/>
          <a:chExt cx="195" cy="30"/>
        </a:xfrm>
      </xdr:grpSpPr>
      <xdr:sp macro="" textlink="I234">
        <xdr:nvSpPr>
          <xdr:cNvPr id="2288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D2C41F6-7A81-4B9E-92C5-708975A35C9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34">
        <xdr:nvSpPr>
          <xdr:cNvPr id="2289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219384E-523F-4CF8-8CD6-60741677AEB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34">
        <xdr:nvSpPr>
          <xdr:cNvPr id="2290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E5625A5-45AF-4D23-8276-E6B7A77927C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11676</a:t>
            </a:fld>
            <a:endParaRPr lang="en-US"/>
          </a:p>
        </xdr:txBody>
      </xdr:sp>
      <xdr:sp macro="" textlink="">
        <xdr:nvSpPr>
          <xdr:cNvPr id="2291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234">
        <xdr:nvSpPr>
          <xdr:cNvPr id="2292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3CBA71A-C627-492E-8EA7-E3093448486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293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234</xdr:row>
      <xdr:rowOff>47625</xdr:rowOff>
    </xdr:from>
    <xdr:to>
      <xdr:col>18</xdr:col>
      <xdr:colOff>1219200</xdr:colOff>
      <xdr:row>234</xdr:row>
      <xdr:rowOff>276225</xdr:rowOff>
    </xdr:to>
    <xdr:grpSp>
      <xdr:nvGrpSpPr>
        <xdr:cNvPr id="2298" name="Group 4"/>
        <xdr:cNvGrpSpPr>
          <a:grpSpLocks/>
        </xdr:cNvGrpSpPr>
      </xdr:nvGrpSpPr>
      <xdr:grpSpPr bwMode="auto">
        <a:xfrm>
          <a:off x="6124575" y="88544400"/>
          <a:ext cx="1162050" cy="228600"/>
          <a:chOff x="545" y="97"/>
          <a:chExt cx="122" cy="24"/>
        </a:xfrm>
      </xdr:grpSpPr>
      <xdr:sp macro="" textlink="">
        <xdr:nvSpPr>
          <xdr:cNvPr id="2299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35">
        <xdr:nvSpPr>
          <xdr:cNvPr id="2300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F0932C7-C3CD-46EA-875D-0FF14CAFBF6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35">
        <xdr:nvSpPr>
          <xdr:cNvPr id="2301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5E7ABFB-1F27-42FF-A7B8-A0C35F1915D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9875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235</xdr:row>
      <xdr:rowOff>47625</xdr:rowOff>
    </xdr:from>
    <xdr:to>
      <xdr:col>18</xdr:col>
      <xdr:colOff>1933575</xdr:colOff>
      <xdr:row>235</xdr:row>
      <xdr:rowOff>285750</xdr:rowOff>
    </xdr:to>
    <xdr:grpSp>
      <xdr:nvGrpSpPr>
        <xdr:cNvPr id="2302" name="Group 3094"/>
        <xdr:cNvGrpSpPr>
          <a:grpSpLocks/>
        </xdr:cNvGrpSpPr>
      </xdr:nvGrpSpPr>
      <xdr:grpSpPr bwMode="auto">
        <a:xfrm>
          <a:off x="6124575" y="88877775"/>
          <a:ext cx="1876425" cy="238125"/>
          <a:chOff x="626" y="613"/>
          <a:chExt cx="197" cy="25"/>
        </a:xfrm>
      </xdr:grpSpPr>
      <xdr:sp macro="" textlink="I236">
        <xdr:nvSpPr>
          <xdr:cNvPr id="2303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5F5F432-F486-4585-8250-E222D859905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36">
        <xdr:nvSpPr>
          <xdr:cNvPr id="2304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9FCCA66-876B-4499-915B-61543FC5FD8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36">
        <xdr:nvSpPr>
          <xdr:cNvPr id="2305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E391531-9803-430C-A243-4895119C648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7875</a:t>
            </a:fld>
            <a:endParaRPr lang="en-US"/>
          </a:p>
        </xdr:txBody>
      </xdr:sp>
      <xdr:sp macro="" textlink="L236">
        <xdr:nvSpPr>
          <xdr:cNvPr id="2306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1CE6DF6-9E02-4820-AF15-B6EFFF43C27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36">
        <xdr:nvSpPr>
          <xdr:cNvPr id="2307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B9103EA-DBA8-4AB6-B006-FC2C5A3D27B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308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309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236</xdr:row>
      <xdr:rowOff>76200</xdr:rowOff>
    </xdr:from>
    <xdr:to>
      <xdr:col>18</xdr:col>
      <xdr:colOff>1400175</xdr:colOff>
      <xdr:row>236</xdr:row>
      <xdr:rowOff>257175</xdr:rowOff>
    </xdr:to>
    <xdr:grpSp>
      <xdr:nvGrpSpPr>
        <xdr:cNvPr id="2313" name="Group 1"/>
        <xdr:cNvGrpSpPr>
          <a:grpSpLocks/>
        </xdr:cNvGrpSpPr>
      </xdr:nvGrpSpPr>
      <xdr:grpSpPr bwMode="auto">
        <a:xfrm>
          <a:off x="6591300" y="89239725"/>
          <a:ext cx="876300" cy="180975"/>
          <a:chOff x="594" y="27"/>
          <a:chExt cx="92" cy="19"/>
        </a:xfrm>
      </xdr:grpSpPr>
      <xdr:sp macro="" textlink="">
        <xdr:nvSpPr>
          <xdr:cNvPr id="2314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37">
        <xdr:nvSpPr>
          <xdr:cNvPr id="2315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D23D968-626E-46D1-BB0E-43B94DD76EC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10379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237</xdr:row>
      <xdr:rowOff>47625</xdr:rowOff>
    </xdr:from>
    <xdr:to>
      <xdr:col>18</xdr:col>
      <xdr:colOff>1933575</xdr:colOff>
      <xdr:row>237</xdr:row>
      <xdr:rowOff>285750</xdr:rowOff>
    </xdr:to>
    <xdr:grpSp>
      <xdr:nvGrpSpPr>
        <xdr:cNvPr id="2316" name="Group 3094"/>
        <xdr:cNvGrpSpPr>
          <a:grpSpLocks/>
        </xdr:cNvGrpSpPr>
      </xdr:nvGrpSpPr>
      <xdr:grpSpPr bwMode="auto">
        <a:xfrm>
          <a:off x="6124575" y="89544525"/>
          <a:ext cx="1876425" cy="238125"/>
          <a:chOff x="626" y="613"/>
          <a:chExt cx="197" cy="25"/>
        </a:xfrm>
      </xdr:grpSpPr>
      <xdr:sp macro="" textlink="I238">
        <xdr:nvSpPr>
          <xdr:cNvPr id="2317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439AD7E-1896-4F19-9946-B38D7F7DAB1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38">
        <xdr:nvSpPr>
          <xdr:cNvPr id="2318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3F17CE2-49DB-4256-9384-142F9E7FD3E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38">
        <xdr:nvSpPr>
          <xdr:cNvPr id="2319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6E1105A-AD29-4D23-8ED3-10CAA5A2064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10800</a:t>
            </a:fld>
            <a:endParaRPr lang="en-US"/>
          </a:p>
        </xdr:txBody>
      </xdr:sp>
      <xdr:sp macro="" textlink="L238">
        <xdr:nvSpPr>
          <xdr:cNvPr id="2320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0278DE9-8562-49DC-B1A4-19EF9A116AF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38">
        <xdr:nvSpPr>
          <xdr:cNvPr id="2321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4039193-8693-4271-B430-B73DFC0AF99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322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323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238</xdr:row>
      <xdr:rowOff>28575</xdr:rowOff>
    </xdr:from>
    <xdr:to>
      <xdr:col>18</xdr:col>
      <xdr:colOff>1724025</xdr:colOff>
      <xdr:row>238</xdr:row>
      <xdr:rowOff>295275</xdr:rowOff>
    </xdr:to>
    <xdr:grpSp>
      <xdr:nvGrpSpPr>
        <xdr:cNvPr id="2330" name="Group 3050"/>
        <xdr:cNvGrpSpPr>
          <a:grpSpLocks/>
        </xdr:cNvGrpSpPr>
      </xdr:nvGrpSpPr>
      <xdr:grpSpPr bwMode="auto">
        <a:xfrm>
          <a:off x="6124575" y="89858850"/>
          <a:ext cx="1666875" cy="266700"/>
          <a:chOff x="589" y="376"/>
          <a:chExt cx="175" cy="28"/>
        </a:xfrm>
      </xdr:grpSpPr>
      <xdr:sp macro="" textlink="I239">
        <xdr:nvSpPr>
          <xdr:cNvPr id="2331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2332A82-15E1-4652-AD58-7F873038A2C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239">
        <xdr:nvSpPr>
          <xdr:cNvPr id="2332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FE7ED55-72C8-4540-818B-CD55030E07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39">
        <xdr:nvSpPr>
          <xdr:cNvPr id="2333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1181196-DB94-495B-AAFA-3079143784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334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335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247</xdr:row>
      <xdr:rowOff>66675</xdr:rowOff>
    </xdr:from>
    <xdr:to>
      <xdr:col>18</xdr:col>
      <xdr:colOff>1666875</xdr:colOff>
      <xdr:row>247</xdr:row>
      <xdr:rowOff>247650</xdr:rowOff>
    </xdr:to>
    <xdr:grpSp>
      <xdr:nvGrpSpPr>
        <xdr:cNvPr id="2336" name="Group 3085"/>
        <xdr:cNvGrpSpPr>
          <a:grpSpLocks/>
        </xdr:cNvGrpSpPr>
      </xdr:nvGrpSpPr>
      <xdr:grpSpPr bwMode="auto">
        <a:xfrm>
          <a:off x="6124575" y="93259275"/>
          <a:ext cx="1609725" cy="180975"/>
          <a:chOff x="607" y="1007"/>
          <a:chExt cx="169" cy="19"/>
        </a:xfrm>
      </xdr:grpSpPr>
      <xdr:sp macro="" textlink="">
        <xdr:nvSpPr>
          <xdr:cNvPr id="2337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48">
        <xdr:nvSpPr>
          <xdr:cNvPr id="2338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9024177-003A-49BF-8B05-0F5FA922BE7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48">
        <xdr:nvSpPr>
          <xdr:cNvPr id="2339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99F1085-01E4-4BCE-8979-C45DA224BA0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5550</a:t>
            </a:fld>
            <a:endParaRPr lang="en-US"/>
          </a:p>
        </xdr:txBody>
      </xdr:sp>
      <xdr:sp macro="" textlink="K248">
        <xdr:nvSpPr>
          <xdr:cNvPr id="2340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3636AF8-4FFF-4FD9-8D0C-0363E95E0AA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248</xdr:row>
      <xdr:rowOff>28575</xdr:rowOff>
    </xdr:from>
    <xdr:to>
      <xdr:col>18</xdr:col>
      <xdr:colOff>1724025</xdr:colOff>
      <xdr:row>248</xdr:row>
      <xdr:rowOff>295275</xdr:rowOff>
    </xdr:to>
    <xdr:grpSp>
      <xdr:nvGrpSpPr>
        <xdr:cNvPr id="2341" name="Group 3050"/>
        <xdr:cNvGrpSpPr>
          <a:grpSpLocks/>
        </xdr:cNvGrpSpPr>
      </xdr:nvGrpSpPr>
      <xdr:grpSpPr bwMode="auto">
        <a:xfrm>
          <a:off x="6124575" y="93554550"/>
          <a:ext cx="1666875" cy="266700"/>
          <a:chOff x="589" y="376"/>
          <a:chExt cx="175" cy="28"/>
        </a:xfrm>
      </xdr:grpSpPr>
      <xdr:sp macro="" textlink="I249">
        <xdr:nvSpPr>
          <xdr:cNvPr id="2342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E4970F3-02CC-40C9-B14C-F4C61753027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249">
        <xdr:nvSpPr>
          <xdr:cNvPr id="2343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45B647F2-C5C2-4A19-AF56-CC2A8ED9C2A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49">
        <xdr:nvSpPr>
          <xdr:cNvPr id="2344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A492B65-CD4E-45BC-91CE-D29FD5D3006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345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346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249</xdr:row>
      <xdr:rowOff>47625</xdr:rowOff>
    </xdr:from>
    <xdr:to>
      <xdr:col>18</xdr:col>
      <xdr:colOff>1219200</xdr:colOff>
      <xdr:row>249</xdr:row>
      <xdr:rowOff>276225</xdr:rowOff>
    </xdr:to>
    <xdr:grpSp>
      <xdr:nvGrpSpPr>
        <xdr:cNvPr id="2358" name="Group 4"/>
        <xdr:cNvGrpSpPr>
          <a:grpSpLocks/>
        </xdr:cNvGrpSpPr>
      </xdr:nvGrpSpPr>
      <xdr:grpSpPr bwMode="auto">
        <a:xfrm>
          <a:off x="6124575" y="93906975"/>
          <a:ext cx="1162050" cy="228600"/>
          <a:chOff x="545" y="97"/>
          <a:chExt cx="122" cy="24"/>
        </a:xfrm>
      </xdr:grpSpPr>
      <xdr:sp macro="" textlink="">
        <xdr:nvSpPr>
          <xdr:cNvPr id="2359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50">
        <xdr:nvSpPr>
          <xdr:cNvPr id="2360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05C2BB2-912A-4A36-B838-E156068C7BF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50">
        <xdr:nvSpPr>
          <xdr:cNvPr id="2361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973A545-7038-48C6-8F38-6A513ADE816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4225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250</xdr:row>
      <xdr:rowOff>57150</xdr:rowOff>
    </xdr:from>
    <xdr:to>
      <xdr:col>18</xdr:col>
      <xdr:colOff>1905000</xdr:colOff>
      <xdr:row>250</xdr:row>
      <xdr:rowOff>647700</xdr:rowOff>
    </xdr:to>
    <xdr:grpSp>
      <xdr:nvGrpSpPr>
        <xdr:cNvPr id="2362" name="Group 2968"/>
        <xdr:cNvGrpSpPr>
          <a:grpSpLocks/>
        </xdr:cNvGrpSpPr>
      </xdr:nvGrpSpPr>
      <xdr:grpSpPr bwMode="auto">
        <a:xfrm>
          <a:off x="6124575" y="94249875"/>
          <a:ext cx="1847850" cy="590550"/>
          <a:chOff x="543" y="12509"/>
          <a:chExt cx="194" cy="62"/>
        </a:xfrm>
      </xdr:grpSpPr>
      <xdr:sp macro="" textlink="">
        <xdr:nvSpPr>
          <xdr:cNvPr id="2363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51">
        <xdr:nvSpPr>
          <xdr:cNvPr id="2364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7DB9B3E-D439-4621-BF0D-8E87C909EB9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251">
        <xdr:nvSpPr>
          <xdr:cNvPr id="2365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6A617AE-2537-436D-AE8E-6577D777193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251">
        <xdr:nvSpPr>
          <xdr:cNvPr id="2423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514FC2-004E-4AEC-BCFC-318DE126961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3025</a:t>
            </a:fld>
            <a:endParaRPr lang="en-US"/>
          </a:p>
        </xdr:txBody>
      </xdr:sp>
      <xdr:sp macro="" textlink="L251">
        <xdr:nvSpPr>
          <xdr:cNvPr id="2424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12EE484-5FE6-4DF0-93EE-0115BC3448C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251">
        <xdr:nvSpPr>
          <xdr:cNvPr id="2425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EBC09EB-5EE1-4B83-A23A-D5B7FE92E92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2426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427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428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251">
        <xdr:nvSpPr>
          <xdr:cNvPr id="2429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B734302-121A-4B3B-8E98-3FB835A0DF0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251</xdr:row>
      <xdr:rowOff>76200</xdr:rowOff>
    </xdr:from>
    <xdr:to>
      <xdr:col>18</xdr:col>
      <xdr:colOff>1400175</xdr:colOff>
      <xdr:row>251</xdr:row>
      <xdr:rowOff>257175</xdr:rowOff>
    </xdr:to>
    <xdr:grpSp>
      <xdr:nvGrpSpPr>
        <xdr:cNvPr id="2433" name="Group 1"/>
        <xdr:cNvGrpSpPr>
          <a:grpSpLocks/>
        </xdr:cNvGrpSpPr>
      </xdr:nvGrpSpPr>
      <xdr:grpSpPr bwMode="auto">
        <a:xfrm>
          <a:off x="6591300" y="94964250"/>
          <a:ext cx="876300" cy="180975"/>
          <a:chOff x="594" y="27"/>
          <a:chExt cx="92" cy="19"/>
        </a:xfrm>
      </xdr:grpSpPr>
      <xdr:sp macro="" textlink="">
        <xdr:nvSpPr>
          <xdr:cNvPr id="2434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52">
        <xdr:nvSpPr>
          <xdr:cNvPr id="2435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2649F5C-306C-4F9E-BD22-23E320EA23F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5625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252</xdr:row>
      <xdr:rowOff>47625</xdr:rowOff>
    </xdr:from>
    <xdr:to>
      <xdr:col>18</xdr:col>
      <xdr:colOff>1933575</xdr:colOff>
      <xdr:row>252</xdr:row>
      <xdr:rowOff>285750</xdr:rowOff>
    </xdr:to>
    <xdr:grpSp>
      <xdr:nvGrpSpPr>
        <xdr:cNvPr id="2436" name="Group 3094"/>
        <xdr:cNvGrpSpPr>
          <a:grpSpLocks/>
        </xdr:cNvGrpSpPr>
      </xdr:nvGrpSpPr>
      <xdr:grpSpPr bwMode="auto">
        <a:xfrm>
          <a:off x="6124575" y="95269050"/>
          <a:ext cx="1876425" cy="238125"/>
          <a:chOff x="626" y="613"/>
          <a:chExt cx="197" cy="25"/>
        </a:xfrm>
      </xdr:grpSpPr>
      <xdr:sp macro="" textlink="I253">
        <xdr:nvSpPr>
          <xdr:cNvPr id="2437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5639EAA-B1EE-46D2-B9F6-2BCC9B32246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53">
        <xdr:nvSpPr>
          <xdr:cNvPr id="2438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080DA1D-D1E4-455C-B2DD-B66C2C1FCFB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53">
        <xdr:nvSpPr>
          <xdr:cNvPr id="2439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A84420A-6F93-4494-96F3-1E9C180A7FF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4000</a:t>
            </a:fld>
            <a:endParaRPr lang="en-US"/>
          </a:p>
        </xdr:txBody>
      </xdr:sp>
      <xdr:sp macro="" textlink="L253">
        <xdr:nvSpPr>
          <xdr:cNvPr id="2440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2999CDA-E4F4-4CD9-9DD6-8C3D42360C4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53">
        <xdr:nvSpPr>
          <xdr:cNvPr id="2441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CB76ECF-CB30-4EED-9A65-EDE73838022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442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443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253</xdr:row>
      <xdr:rowOff>47625</xdr:rowOff>
    </xdr:from>
    <xdr:to>
      <xdr:col>18</xdr:col>
      <xdr:colOff>1933575</xdr:colOff>
      <xdr:row>253</xdr:row>
      <xdr:rowOff>285750</xdr:rowOff>
    </xdr:to>
    <xdr:grpSp>
      <xdr:nvGrpSpPr>
        <xdr:cNvPr id="2444" name="Group 3094"/>
        <xdr:cNvGrpSpPr>
          <a:grpSpLocks/>
        </xdr:cNvGrpSpPr>
      </xdr:nvGrpSpPr>
      <xdr:grpSpPr bwMode="auto">
        <a:xfrm>
          <a:off x="6124575" y="95602425"/>
          <a:ext cx="1876425" cy="238125"/>
          <a:chOff x="626" y="613"/>
          <a:chExt cx="197" cy="25"/>
        </a:xfrm>
      </xdr:grpSpPr>
      <xdr:sp macro="" textlink="I254">
        <xdr:nvSpPr>
          <xdr:cNvPr id="2445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9D8AA2C-E039-4F9B-B9ED-7AAFD4E3D7D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54">
        <xdr:nvSpPr>
          <xdr:cNvPr id="2446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5E2A908-58F4-44B3-A995-FFFB436A07F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54">
        <xdr:nvSpPr>
          <xdr:cNvPr id="2447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DA6F693-EE35-4723-8905-B1F1A8A04F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  <xdr:sp macro="" textlink="L254">
        <xdr:nvSpPr>
          <xdr:cNvPr id="2448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DB05C30-E774-4C66-A680-8754A675C45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54">
        <xdr:nvSpPr>
          <xdr:cNvPr id="2449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DF0D90C-1E9D-44C2-830F-00D26D0FE64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450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451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254</xdr:row>
      <xdr:rowOff>76200</xdr:rowOff>
    </xdr:from>
    <xdr:to>
      <xdr:col>18</xdr:col>
      <xdr:colOff>1400175</xdr:colOff>
      <xdr:row>254</xdr:row>
      <xdr:rowOff>257175</xdr:rowOff>
    </xdr:to>
    <xdr:grpSp>
      <xdr:nvGrpSpPr>
        <xdr:cNvPr id="2459" name="Group 1"/>
        <xdr:cNvGrpSpPr>
          <a:grpSpLocks/>
        </xdr:cNvGrpSpPr>
      </xdr:nvGrpSpPr>
      <xdr:grpSpPr bwMode="auto">
        <a:xfrm>
          <a:off x="6591300" y="95964375"/>
          <a:ext cx="876300" cy="180975"/>
          <a:chOff x="594" y="27"/>
          <a:chExt cx="92" cy="19"/>
        </a:xfrm>
      </xdr:grpSpPr>
      <xdr:sp macro="" textlink="">
        <xdr:nvSpPr>
          <xdr:cNvPr id="2460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55">
        <xdr:nvSpPr>
          <xdr:cNvPr id="2461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EF9DF31-C1B7-45ED-BA2B-E81C4586B0A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6225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256</xdr:row>
      <xdr:rowOff>47625</xdr:rowOff>
    </xdr:from>
    <xdr:to>
      <xdr:col>18</xdr:col>
      <xdr:colOff>1219200</xdr:colOff>
      <xdr:row>256</xdr:row>
      <xdr:rowOff>276225</xdr:rowOff>
    </xdr:to>
    <xdr:grpSp>
      <xdr:nvGrpSpPr>
        <xdr:cNvPr id="2482" name="Group 4"/>
        <xdr:cNvGrpSpPr>
          <a:grpSpLocks/>
        </xdr:cNvGrpSpPr>
      </xdr:nvGrpSpPr>
      <xdr:grpSpPr bwMode="auto">
        <a:xfrm>
          <a:off x="6124575" y="97307400"/>
          <a:ext cx="1162050" cy="228600"/>
          <a:chOff x="545" y="97"/>
          <a:chExt cx="122" cy="24"/>
        </a:xfrm>
      </xdr:grpSpPr>
      <xdr:sp macro="" textlink="">
        <xdr:nvSpPr>
          <xdr:cNvPr id="2483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57">
        <xdr:nvSpPr>
          <xdr:cNvPr id="2484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2DDA6B0-1EE8-451C-AE12-3AC78AA0730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57">
        <xdr:nvSpPr>
          <xdr:cNvPr id="2485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74D1599-2BD8-4CEC-8055-C71D0406915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5400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257</xdr:row>
      <xdr:rowOff>28575</xdr:rowOff>
    </xdr:from>
    <xdr:to>
      <xdr:col>18</xdr:col>
      <xdr:colOff>1724025</xdr:colOff>
      <xdr:row>257</xdr:row>
      <xdr:rowOff>295275</xdr:rowOff>
    </xdr:to>
    <xdr:grpSp>
      <xdr:nvGrpSpPr>
        <xdr:cNvPr id="2492" name="Group 3050"/>
        <xdr:cNvGrpSpPr>
          <a:grpSpLocks/>
        </xdr:cNvGrpSpPr>
      </xdr:nvGrpSpPr>
      <xdr:grpSpPr bwMode="auto">
        <a:xfrm>
          <a:off x="6124575" y="97621725"/>
          <a:ext cx="1666875" cy="266700"/>
          <a:chOff x="589" y="376"/>
          <a:chExt cx="175" cy="28"/>
        </a:xfrm>
      </xdr:grpSpPr>
      <xdr:sp macro="" textlink="I258">
        <xdr:nvSpPr>
          <xdr:cNvPr id="2493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7E56A85-04D2-4ED0-A37D-025AA8D8106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258">
        <xdr:nvSpPr>
          <xdr:cNvPr id="2494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1F92197-B690-47D2-90EE-2D80A617F83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58">
        <xdr:nvSpPr>
          <xdr:cNvPr id="2495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171FD81-B4D8-4FB4-879E-1740B82E61F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496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497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258</xdr:row>
      <xdr:rowOff>66675</xdr:rowOff>
    </xdr:from>
    <xdr:to>
      <xdr:col>18</xdr:col>
      <xdr:colOff>1666875</xdr:colOff>
      <xdr:row>258</xdr:row>
      <xdr:rowOff>247650</xdr:rowOff>
    </xdr:to>
    <xdr:grpSp>
      <xdr:nvGrpSpPr>
        <xdr:cNvPr id="2498" name="Group 3085"/>
        <xdr:cNvGrpSpPr>
          <a:grpSpLocks/>
        </xdr:cNvGrpSpPr>
      </xdr:nvGrpSpPr>
      <xdr:grpSpPr bwMode="auto">
        <a:xfrm>
          <a:off x="6124575" y="97993200"/>
          <a:ext cx="1609725" cy="180975"/>
          <a:chOff x="607" y="1007"/>
          <a:chExt cx="169" cy="19"/>
        </a:xfrm>
      </xdr:grpSpPr>
      <xdr:sp macro="" textlink="">
        <xdr:nvSpPr>
          <xdr:cNvPr id="2499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59">
        <xdr:nvSpPr>
          <xdr:cNvPr id="2500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24526B7-C912-4034-96E8-2192961A792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59">
        <xdr:nvSpPr>
          <xdr:cNvPr id="2501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50DF30C-68CE-487D-ABBB-919081CF004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5400</a:t>
            </a:fld>
            <a:endParaRPr lang="en-US"/>
          </a:p>
        </xdr:txBody>
      </xdr:sp>
      <xdr:sp macro="" textlink="K259">
        <xdr:nvSpPr>
          <xdr:cNvPr id="2502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64BFFF7-96FC-4FF3-93A2-B337C995769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259</xdr:row>
      <xdr:rowOff>66675</xdr:rowOff>
    </xdr:from>
    <xdr:to>
      <xdr:col>18</xdr:col>
      <xdr:colOff>1666875</xdr:colOff>
      <xdr:row>259</xdr:row>
      <xdr:rowOff>247650</xdr:rowOff>
    </xdr:to>
    <xdr:grpSp>
      <xdr:nvGrpSpPr>
        <xdr:cNvPr id="2508" name="Group 3085"/>
        <xdr:cNvGrpSpPr>
          <a:grpSpLocks/>
        </xdr:cNvGrpSpPr>
      </xdr:nvGrpSpPr>
      <xdr:grpSpPr bwMode="auto">
        <a:xfrm>
          <a:off x="6124575" y="98326575"/>
          <a:ext cx="1609725" cy="180975"/>
          <a:chOff x="607" y="1007"/>
          <a:chExt cx="169" cy="19"/>
        </a:xfrm>
      </xdr:grpSpPr>
      <xdr:sp macro="" textlink="">
        <xdr:nvSpPr>
          <xdr:cNvPr id="2509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60">
        <xdr:nvSpPr>
          <xdr:cNvPr id="2517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B913BE5-83D6-4108-B7F8-D1DD9D6BF4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60">
        <xdr:nvSpPr>
          <xdr:cNvPr id="2518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7D04FB5-AF11-4A54-9513-4BF43B8FF32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5400</a:t>
            </a:fld>
            <a:endParaRPr lang="en-US"/>
          </a:p>
        </xdr:txBody>
      </xdr:sp>
      <xdr:sp macro="" textlink="K260">
        <xdr:nvSpPr>
          <xdr:cNvPr id="2519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16C4EF5-F3C7-41BA-88E9-2BC980865FE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261</xdr:row>
      <xdr:rowOff>28575</xdr:rowOff>
    </xdr:from>
    <xdr:to>
      <xdr:col>18</xdr:col>
      <xdr:colOff>1724025</xdr:colOff>
      <xdr:row>261</xdr:row>
      <xdr:rowOff>295275</xdr:rowOff>
    </xdr:to>
    <xdr:grpSp>
      <xdr:nvGrpSpPr>
        <xdr:cNvPr id="2520" name="Group 3050"/>
        <xdr:cNvGrpSpPr>
          <a:grpSpLocks/>
        </xdr:cNvGrpSpPr>
      </xdr:nvGrpSpPr>
      <xdr:grpSpPr bwMode="auto">
        <a:xfrm>
          <a:off x="6124575" y="98955225"/>
          <a:ext cx="1666875" cy="266700"/>
          <a:chOff x="589" y="376"/>
          <a:chExt cx="175" cy="28"/>
        </a:xfrm>
      </xdr:grpSpPr>
      <xdr:sp macro="" textlink="I262">
        <xdr:nvSpPr>
          <xdr:cNvPr id="2521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A641F8D-3839-4B56-A16D-C6A3B63FB97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262">
        <xdr:nvSpPr>
          <xdr:cNvPr id="2522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E153A4F-DA16-47BA-ADA1-C26765EA949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62">
        <xdr:nvSpPr>
          <xdr:cNvPr id="2523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E593769-83B8-4403-92D7-096508DF6F9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524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525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260</xdr:row>
      <xdr:rowOff>76200</xdr:rowOff>
    </xdr:from>
    <xdr:to>
      <xdr:col>18</xdr:col>
      <xdr:colOff>1400175</xdr:colOff>
      <xdr:row>260</xdr:row>
      <xdr:rowOff>257175</xdr:rowOff>
    </xdr:to>
    <xdr:grpSp>
      <xdr:nvGrpSpPr>
        <xdr:cNvPr id="2547" name="Group 1"/>
        <xdr:cNvGrpSpPr>
          <a:grpSpLocks/>
        </xdr:cNvGrpSpPr>
      </xdr:nvGrpSpPr>
      <xdr:grpSpPr bwMode="auto">
        <a:xfrm>
          <a:off x="6591300" y="98669475"/>
          <a:ext cx="876300" cy="180975"/>
          <a:chOff x="594" y="27"/>
          <a:chExt cx="92" cy="19"/>
        </a:xfrm>
      </xdr:grpSpPr>
      <xdr:sp macro="" textlink="">
        <xdr:nvSpPr>
          <xdr:cNvPr id="2548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61">
        <xdr:nvSpPr>
          <xdr:cNvPr id="2549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1CAEFF2-3527-4DED-A403-46E02D44BB0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5400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262</xdr:row>
      <xdr:rowOff>66675</xdr:rowOff>
    </xdr:from>
    <xdr:to>
      <xdr:col>18</xdr:col>
      <xdr:colOff>1666875</xdr:colOff>
      <xdr:row>262</xdr:row>
      <xdr:rowOff>247650</xdr:rowOff>
    </xdr:to>
    <xdr:grpSp>
      <xdr:nvGrpSpPr>
        <xdr:cNvPr id="2555" name="Group 3085"/>
        <xdr:cNvGrpSpPr>
          <a:grpSpLocks/>
        </xdr:cNvGrpSpPr>
      </xdr:nvGrpSpPr>
      <xdr:grpSpPr bwMode="auto">
        <a:xfrm>
          <a:off x="6124575" y="99326700"/>
          <a:ext cx="1609725" cy="180975"/>
          <a:chOff x="607" y="1007"/>
          <a:chExt cx="169" cy="19"/>
        </a:xfrm>
      </xdr:grpSpPr>
      <xdr:sp macro="" textlink="">
        <xdr:nvSpPr>
          <xdr:cNvPr id="2556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63">
        <xdr:nvSpPr>
          <xdr:cNvPr id="2557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892491D-706C-44E5-8D43-488836A4DD7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63">
        <xdr:nvSpPr>
          <xdr:cNvPr id="2558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A43AFD6-80C1-491A-8056-98FF8C0D0B4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5400</a:t>
            </a:fld>
            <a:endParaRPr lang="en-US"/>
          </a:p>
        </xdr:txBody>
      </xdr:sp>
      <xdr:sp macro="" textlink="K263">
        <xdr:nvSpPr>
          <xdr:cNvPr id="2559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154E5E7-C87C-4026-8EAB-D6982ECC3F9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263</xdr:row>
      <xdr:rowOff>28575</xdr:rowOff>
    </xdr:from>
    <xdr:to>
      <xdr:col>18</xdr:col>
      <xdr:colOff>1724025</xdr:colOff>
      <xdr:row>263</xdr:row>
      <xdr:rowOff>295275</xdr:rowOff>
    </xdr:to>
    <xdr:grpSp>
      <xdr:nvGrpSpPr>
        <xdr:cNvPr id="2560" name="Group 3050"/>
        <xdr:cNvGrpSpPr>
          <a:grpSpLocks/>
        </xdr:cNvGrpSpPr>
      </xdr:nvGrpSpPr>
      <xdr:grpSpPr bwMode="auto">
        <a:xfrm>
          <a:off x="6124575" y="99621975"/>
          <a:ext cx="1666875" cy="266700"/>
          <a:chOff x="589" y="376"/>
          <a:chExt cx="175" cy="28"/>
        </a:xfrm>
      </xdr:grpSpPr>
      <xdr:sp macro="" textlink="I264">
        <xdr:nvSpPr>
          <xdr:cNvPr id="2561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194DD7B-8AB7-4AC5-8950-DAC2965D48B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264">
        <xdr:nvSpPr>
          <xdr:cNvPr id="2562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32B69F1-B5AF-4E79-A4DC-CAC76887D18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64">
        <xdr:nvSpPr>
          <xdr:cNvPr id="2581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5E90D24-612B-4069-AF6E-2A5329F5EE9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582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583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264</xdr:row>
      <xdr:rowOff>66675</xdr:rowOff>
    </xdr:from>
    <xdr:to>
      <xdr:col>18</xdr:col>
      <xdr:colOff>1666875</xdr:colOff>
      <xdr:row>264</xdr:row>
      <xdr:rowOff>247650</xdr:rowOff>
    </xdr:to>
    <xdr:grpSp>
      <xdr:nvGrpSpPr>
        <xdr:cNvPr id="2589" name="Group 3085"/>
        <xdr:cNvGrpSpPr>
          <a:grpSpLocks/>
        </xdr:cNvGrpSpPr>
      </xdr:nvGrpSpPr>
      <xdr:grpSpPr bwMode="auto">
        <a:xfrm>
          <a:off x="6124575" y="99993450"/>
          <a:ext cx="1609725" cy="180975"/>
          <a:chOff x="607" y="1007"/>
          <a:chExt cx="169" cy="19"/>
        </a:xfrm>
      </xdr:grpSpPr>
      <xdr:sp macro="" textlink="">
        <xdr:nvSpPr>
          <xdr:cNvPr id="2590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65">
        <xdr:nvSpPr>
          <xdr:cNvPr id="2591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480C5E0D-5723-4F3A-9D15-45AEFF78FC0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65">
        <xdr:nvSpPr>
          <xdr:cNvPr id="2592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7BB96E4-873C-42A7-9E45-331CCA03E7F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4725</a:t>
            </a:fld>
            <a:endParaRPr lang="en-US"/>
          </a:p>
        </xdr:txBody>
      </xdr:sp>
      <xdr:sp macro="" textlink="K265">
        <xdr:nvSpPr>
          <xdr:cNvPr id="2619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F0D373B-91A8-4809-888A-FE541B6C01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239</xdr:row>
      <xdr:rowOff>47625</xdr:rowOff>
    </xdr:from>
    <xdr:to>
      <xdr:col>18</xdr:col>
      <xdr:colOff>1933575</xdr:colOff>
      <xdr:row>239</xdr:row>
      <xdr:rowOff>285750</xdr:rowOff>
    </xdr:to>
    <xdr:grpSp>
      <xdr:nvGrpSpPr>
        <xdr:cNvPr id="2620" name="Group 3094"/>
        <xdr:cNvGrpSpPr>
          <a:grpSpLocks/>
        </xdr:cNvGrpSpPr>
      </xdr:nvGrpSpPr>
      <xdr:grpSpPr bwMode="auto">
        <a:xfrm>
          <a:off x="6124575" y="90573225"/>
          <a:ext cx="1876425" cy="238125"/>
          <a:chOff x="626" y="613"/>
          <a:chExt cx="197" cy="25"/>
        </a:xfrm>
      </xdr:grpSpPr>
      <xdr:sp macro="" textlink="I233">
        <xdr:nvSpPr>
          <xdr:cNvPr id="2621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6B7382E-E09F-47C7-A0FD-8E444F08677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33">
        <xdr:nvSpPr>
          <xdr:cNvPr id="2622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CB7E0D5-9497-4046-B6CC-CD6CA250A3B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33">
        <xdr:nvSpPr>
          <xdr:cNvPr id="2623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8080015-BE12-4FCB-9E24-876E439F85A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4850</a:t>
            </a:fld>
            <a:endParaRPr lang="en-US"/>
          </a:p>
        </xdr:txBody>
      </xdr:sp>
      <xdr:sp macro="" textlink="L233">
        <xdr:nvSpPr>
          <xdr:cNvPr id="2624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BFEABB2-F751-4BDC-8C4A-05846989008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33">
        <xdr:nvSpPr>
          <xdr:cNvPr id="2625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F3392E7-3AAD-42B7-AA32-DCB1F538B5B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626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627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240</xdr:row>
      <xdr:rowOff>19050</xdr:rowOff>
    </xdr:from>
    <xdr:to>
      <xdr:col>18</xdr:col>
      <xdr:colOff>1905000</xdr:colOff>
      <xdr:row>240</xdr:row>
      <xdr:rowOff>304800</xdr:rowOff>
    </xdr:to>
    <xdr:grpSp>
      <xdr:nvGrpSpPr>
        <xdr:cNvPr id="2628" name="Group 3092"/>
        <xdr:cNvGrpSpPr>
          <a:grpSpLocks/>
        </xdr:cNvGrpSpPr>
      </xdr:nvGrpSpPr>
      <xdr:grpSpPr bwMode="auto">
        <a:xfrm>
          <a:off x="6115050" y="90878025"/>
          <a:ext cx="1857375" cy="285750"/>
          <a:chOff x="606" y="2035"/>
          <a:chExt cx="195" cy="30"/>
        </a:xfrm>
      </xdr:grpSpPr>
      <xdr:sp macro="" textlink="I234">
        <xdr:nvSpPr>
          <xdr:cNvPr id="2629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D2C41F6-7A81-4B9E-92C5-708975A35C9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34">
        <xdr:nvSpPr>
          <xdr:cNvPr id="2630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219384E-523F-4CF8-8CD6-60741677AEB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34">
        <xdr:nvSpPr>
          <xdr:cNvPr id="2631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E5625A5-45AF-4D23-8276-E6B7A77927C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11676</a:t>
            </a:fld>
            <a:endParaRPr lang="en-US"/>
          </a:p>
        </xdr:txBody>
      </xdr:sp>
      <xdr:sp macro="" textlink="">
        <xdr:nvSpPr>
          <xdr:cNvPr id="2632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234">
        <xdr:nvSpPr>
          <xdr:cNvPr id="2633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3CBA71A-C627-492E-8EA7-E3093448486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2634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241</xdr:row>
      <xdr:rowOff>76200</xdr:rowOff>
    </xdr:from>
    <xdr:to>
      <xdr:col>18</xdr:col>
      <xdr:colOff>1400175</xdr:colOff>
      <xdr:row>241</xdr:row>
      <xdr:rowOff>257175</xdr:rowOff>
    </xdr:to>
    <xdr:grpSp>
      <xdr:nvGrpSpPr>
        <xdr:cNvPr id="2674" name="Group 1"/>
        <xdr:cNvGrpSpPr>
          <a:grpSpLocks/>
        </xdr:cNvGrpSpPr>
      </xdr:nvGrpSpPr>
      <xdr:grpSpPr bwMode="auto">
        <a:xfrm>
          <a:off x="6591300" y="91268550"/>
          <a:ext cx="876300" cy="180975"/>
          <a:chOff x="594" y="27"/>
          <a:chExt cx="92" cy="19"/>
        </a:xfrm>
      </xdr:grpSpPr>
      <xdr:sp macro="" textlink="">
        <xdr:nvSpPr>
          <xdr:cNvPr id="2675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42">
        <xdr:nvSpPr>
          <xdr:cNvPr id="2676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6C2BF1-D740-43CD-AC19-D9432A31D8F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242</xdr:row>
      <xdr:rowOff>47625</xdr:rowOff>
    </xdr:from>
    <xdr:to>
      <xdr:col>18</xdr:col>
      <xdr:colOff>1933575</xdr:colOff>
      <xdr:row>242</xdr:row>
      <xdr:rowOff>285750</xdr:rowOff>
    </xdr:to>
    <xdr:grpSp>
      <xdr:nvGrpSpPr>
        <xdr:cNvPr id="2677" name="Group 3094"/>
        <xdr:cNvGrpSpPr>
          <a:grpSpLocks/>
        </xdr:cNvGrpSpPr>
      </xdr:nvGrpSpPr>
      <xdr:grpSpPr bwMode="auto">
        <a:xfrm>
          <a:off x="6124575" y="91573350"/>
          <a:ext cx="1876425" cy="238125"/>
          <a:chOff x="626" y="613"/>
          <a:chExt cx="197" cy="25"/>
        </a:xfrm>
      </xdr:grpSpPr>
      <xdr:sp macro="" textlink="I243">
        <xdr:nvSpPr>
          <xdr:cNvPr id="267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1A3090C-473E-4EAC-BFC4-F7BB6C9F493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43">
        <xdr:nvSpPr>
          <xdr:cNvPr id="2679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F3C7BA2-DDB2-4B7C-82CB-D0DE48E6E4C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43">
        <xdr:nvSpPr>
          <xdr:cNvPr id="2680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D672981-CFFB-448D-9B85-9AB959A6512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4150</a:t>
            </a:fld>
            <a:endParaRPr lang="en-US"/>
          </a:p>
        </xdr:txBody>
      </xdr:sp>
      <xdr:sp macro="" textlink="L243">
        <xdr:nvSpPr>
          <xdr:cNvPr id="2681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07FCA90-FF20-4636-8423-38AD2A5CA03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43">
        <xdr:nvSpPr>
          <xdr:cNvPr id="268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4FD4217-DA1C-44A2-A315-CD58FE19F96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68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68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243</xdr:row>
      <xdr:rowOff>47625</xdr:rowOff>
    </xdr:from>
    <xdr:to>
      <xdr:col>18</xdr:col>
      <xdr:colOff>1933575</xdr:colOff>
      <xdr:row>243</xdr:row>
      <xdr:rowOff>285750</xdr:rowOff>
    </xdr:to>
    <xdr:grpSp>
      <xdr:nvGrpSpPr>
        <xdr:cNvPr id="2685" name="Group 3094"/>
        <xdr:cNvGrpSpPr>
          <a:grpSpLocks/>
        </xdr:cNvGrpSpPr>
      </xdr:nvGrpSpPr>
      <xdr:grpSpPr bwMode="auto">
        <a:xfrm>
          <a:off x="6124575" y="91906725"/>
          <a:ext cx="1876425" cy="238125"/>
          <a:chOff x="626" y="613"/>
          <a:chExt cx="197" cy="25"/>
        </a:xfrm>
      </xdr:grpSpPr>
      <xdr:sp macro="" textlink="I244">
        <xdr:nvSpPr>
          <xdr:cNvPr id="2686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406862C-D7D9-4E0E-B834-38E7ED08FBA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44">
        <xdr:nvSpPr>
          <xdr:cNvPr id="2687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322A771-B3D6-455C-8EB1-208FC9F8FCE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44">
        <xdr:nvSpPr>
          <xdr:cNvPr id="2688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6FF75B5-30AD-4587-8E0E-032EB007036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11738</a:t>
            </a:fld>
            <a:endParaRPr lang="en-US"/>
          </a:p>
        </xdr:txBody>
      </xdr:sp>
      <xdr:sp macro="" textlink="L244">
        <xdr:nvSpPr>
          <xdr:cNvPr id="2689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F3A16CC-20A8-4C9A-8318-45BAB2B1E6C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44">
        <xdr:nvSpPr>
          <xdr:cNvPr id="2690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2D4AED2-7F56-4DE1-8B82-2B2793AE3B6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691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692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244</xdr:row>
      <xdr:rowOff>76200</xdr:rowOff>
    </xdr:from>
    <xdr:to>
      <xdr:col>18</xdr:col>
      <xdr:colOff>1400175</xdr:colOff>
      <xdr:row>244</xdr:row>
      <xdr:rowOff>257175</xdr:rowOff>
    </xdr:to>
    <xdr:grpSp>
      <xdr:nvGrpSpPr>
        <xdr:cNvPr id="2696" name="Group 1"/>
        <xdr:cNvGrpSpPr>
          <a:grpSpLocks/>
        </xdr:cNvGrpSpPr>
      </xdr:nvGrpSpPr>
      <xdr:grpSpPr bwMode="auto">
        <a:xfrm>
          <a:off x="6591300" y="92268675"/>
          <a:ext cx="876300" cy="180975"/>
          <a:chOff x="594" y="27"/>
          <a:chExt cx="92" cy="19"/>
        </a:xfrm>
      </xdr:grpSpPr>
      <xdr:sp macro="" textlink="">
        <xdr:nvSpPr>
          <xdr:cNvPr id="2697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45">
        <xdr:nvSpPr>
          <xdr:cNvPr id="2698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1F1EC00-610B-4E10-AE2A-D2944E2EE94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8813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245</xdr:row>
      <xdr:rowOff>47625</xdr:rowOff>
    </xdr:from>
    <xdr:to>
      <xdr:col>18</xdr:col>
      <xdr:colOff>1933575</xdr:colOff>
      <xdr:row>245</xdr:row>
      <xdr:rowOff>285750</xdr:rowOff>
    </xdr:to>
    <xdr:grpSp>
      <xdr:nvGrpSpPr>
        <xdr:cNvPr id="2727" name="Group 3094"/>
        <xdr:cNvGrpSpPr>
          <a:grpSpLocks/>
        </xdr:cNvGrpSpPr>
      </xdr:nvGrpSpPr>
      <xdr:grpSpPr bwMode="auto">
        <a:xfrm>
          <a:off x="6124575" y="92573475"/>
          <a:ext cx="1876425" cy="238125"/>
          <a:chOff x="626" y="613"/>
          <a:chExt cx="197" cy="25"/>
        </a:xfrm>
      </xdr:grpSpPr>
      <xdr:sp macro="" textlink="I246">
        <xdr:nvSpPr>
          <xdr:cNvPr id="272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D1A943F-831C-4674-BB94-ABD6544AC74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46">
        <xdr:nvSpPr>
          <xdr:cNvPr id="2729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03BEBB1-B9AA-4772-BAA2-378A303F03D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46">
        <xdr:nvSpPr>
          <xdr:cNvPr id="2730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5D3D35F-1C8F-48AE-951D-EC36A4A58A7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5500</a:t>
            </a:fld>
            <a:endParaRPr lang="en-US"/>
          </a:p>
        </xdr:txBody>
      </xdr:sp>
      <xdr:sp macro="" textlink="L246">
        <xdr:nvSpPr>
          <xdr:cNvPr id="2731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F11394A-42D8-47A8-ACB4-48125A221A4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46">
        <xdr:nvSpPr>
          <xdr:cNvPr id="273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19E5898-45AF-4107-9F3A-B522E302464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73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73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246</xdr:row>
      <xdr:rowOff>28575</xdr:rowOff>
    </xdr:from>
    <xdr:to>
      <xdr:col>18</xdr:col>
      <xdr:colOff>1724025</xdr:colOff>
      <xdr:row>246</xdr:row>
      <xdr:rowOff>295275</xdr:rowOff>
    </xdr:to>
    <xdr:grpSp>
      <xdr:nvGrpSpPr>
        <xdr:cNvPr id="2735" name="Group 3050"/>
        <xdr:cNvGrpSpPr>
          <a:grpSpLocks/>
        </xdr:cNvGrpSpPr>
      </xdr:nvGrpSpPr>
      <xdr:grpSpPr bwMode="auto">
        <a:xfrm>
          <a:off x="6124575" y="92887800"/>
          <a:ext cx="1666875" cy="266700"/>
          <a:chOff x="589" y="376"/>
          <a:chExt cx="175" cy="28"/>
        </a:xfrm>
      </xdr:grpSpPr>
      <xdr:sp macro="" textlink="I247">
        <xdr:nvSpPr>
          <xdr:cNvPr id="2736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131E012-AEC8-4827-98C1-31DC8D2F9E3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247">
        <xdr:nvSpPr>
          <xdr:cNvPr id="2737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741B052-CBB5-498C-8460-7005168303E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47">
        <xdr:nvSpPr>
          <xdr:cNvPr id="2738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D142EA3-714B-4111-81BE-E0C10DC1924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739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740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265</xdr:row>
      <xdr:rowOff>47625</xdr:rowOff>
    </xdr:from>
    <xdr:to>
      <xdr:col>18</xdr:col>
      <xdr:colOff>1933575</xdr:colOff>
      <xdr:row>265</xdr:row>
      <xdr:rowOff>285750</xdr:rowOff>
    </xdr:to>
    <xdr:grpSp>
      <xdr:nvGrpSpPr>
        <xdr:cNvPr id="2741" name="Group 3094"/>
        <xdr:cNvGrpSpPr>
          <a:grpSpLocks/>
        </xdr:cNvGrpSpPr>
      </xdr:nvGrpSpPr>
      <xdr:grpSpPr bwMode="auto">
        <a:xfrm>
          <a:off x="6124575" y="100307775"/>
          <a:ext cx="1876425" cy="238125"/>
          <a:chOff x="626" y="613"/>
          <a:chExt cx="197" cy="25"/>
        </a:xfrm>
      </xdr:grpSpPr>
      <xdr:sp macro="" textlink="I266">
        <xdr:nvSpPr>
          <xdr:cNvPr id="2742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AACB162-96E2-4BFE-9E07-86D79E59D95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66">
        <xdr:nvSpPr>
          <xdr:cNvPr id="2743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472164D5-B0E7-4258-A41F-F274C45868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66">
        <xdr:nvSpPr>
          <xdr:cNvPr id="2744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5F93950-2332-467D-8022-9F4F30E4F26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3175</a:t>
            </a:fld>
            <a:endParaRPr lang="en-US"/>
          </a:p>
        </xdr:txBody>
      </xdr:sp>
      <xdr:sp macro="" textlink="L266">
        <xdr:nvSpPr>
          <xdr:cNvPr id="2745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BAD54BC-0E05-4725-A249-4A122265884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66">
        <xdr:nvSpPr>
          <xdr:cNvPr id="2746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E71885B-F2A9-4086-873F-4F03EE0064F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747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748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267</xdr:row>
      <xdr:rowOff>57150</xdr:rowOff>
    </xdr:from>
    <xdr:to>
      <xdr:col>18</xdr:col>
      <xdr:colOff>1905000</xdr:colOff>
      <xdr:row>267</xdr:row>
      <xdr:rowOff>647700</xdr:rowOff>
    </xdr:to>
    <xdr:grpSp>
      <xdr:nvGrpSpPr>
        <xdr:cNvPr id="2749" name="Group 2968"/>
        <xdr:cNvGrpSpPr>
          <a:grpSpLocks/>
        </xdr:cNvGrpSpPr>
      </xdr:nvGrpSpPr>
      <xdr:grpSpPr bwMode="auto">
        <a:xfrm>
          <a:off x="6124575" y="100984050"/>
          <a:ext cx="1847850" cy="276225"/>
          <a:chOff x="543" y="12509"/>
          <a:chExt cx="194" cy="62"/>
        </a:xfrm>
      </xdr:grpSpPr>
      <xdr:sp macro="" textlink="">
        <xdr:nvSpPr>
          <xdr:cNvPr id="2750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68">
        <xdr:nvSpPr>
          <xdr:cNvPr id="2751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A73C0F6-9A24-4DC6-A954-8D79B268521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268">
        <xdr:nvSpPr>
          <xdr:cNvPr id="2759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8956A76-3521-40A8-8853-DAF3BBF30DB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268">
        <xdr:nvSpPr>
          <xdr:cNvPr id="2760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E998734-F2A6-432E-A14F-F8874940A66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3025</a:t>
            </a:fld>
            <a:endParaRPr lang="en-US"/>
          </a:p>
        </xdr:txBody>
      </xdr:sp>
      <xdr:sp macro="" textlink="L268">
        <xdr:nvSpPr>
          <xdr:cNvPr id="2761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B330A4F-3371-4B02-B970-3C7E8E11F97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268">
        <xdr:nvSpPr>
          <xdr:cNvPr id="2762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71F5DB4-16F8-42BF-A143-E6675D0B23E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2763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764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781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268">
        <xdr:nvSpPr>
          <xdr:cNvPr id="2782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8FA3F39-B080-49CD-8D46-C5B732B0B21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268</xdr:row>
      <xdr:rowOff>76200</xdr:rowOff>
    </xdr:from>
    <xdr:to>
      <xdr:col>18</xdr:col>
      <xdr:colOff>1400175</xdr:colOff>
      <xdr:row>268</xdr:row>
      <xdr:rowOff>257175</xdr:rowOff>
    </xdr:to>
    <xdr:grpSp>
      <xdr:nvGrpSpPr>
        <xdr:cNvPr id="2786" name="Group 1"/>
        <xdr:cNvGrpSpPr>
          <a:grpSpLocks/>
        </xdr:cNvGrpSpPr>
      </xdr:nvGrpSpPr>
      <xdr:grpSpPr bwMode="auto">
        <a:xfrm>
          <a:off x="6591300" y="101336475"/>
          <a:ext cx="876300" cy="180975"/>
          <a:chOff x="594" y="27"/>
          <a:chExt cx="92" cy="19"/>
        </a:xfrm>
      </xdr:grpSpPr>
      <xdr:sp macro="" textlink="">
        <xdr:nvSpPr>
          <xdr:cNvPr id="2799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69">
        <xdr:nvSpPr>
          <xdr:cNvPr id="2800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5CE221B-FAC5-41FC-B864-8F8A44BF272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5625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269</xdr:row>
      <xdr:rowOff>47625</xdr:rowOff>
    </xdr:from>
    <xdr:to>
      <xdr:col>18</xdr:col>
      <xdr:colOff>1933575</xdr:colOff>
      <xdr:row>269</xdr:row>
      <xdr:rowOff>285750</xdr:rowOff>
    </xdr:to>
    <xdr:grpSp>
      <xdr:nvGrpSpPr>
        <xdr:cNvPr id="2801" name="Group 3094"/>
        <xdr:cNvGrpSpPr>
          <a:grpSpLocks/>
        </xdr:cNvGrpSpPr>
      </xdr:nvGrpSpPr>
      <xdr:grpSpPr bwMode="auto">
        <a:xfrm>
          <a:off x="6124575" y="101641275"/>
          <a:ext cx="1876425" cy="238125"/>
          <a:chOff x="626" y="613"/>
          <a:chExt cx="197" cy="25"/>
        </a:xfrm>
      </xdr:grpSpPr>
      <xdr:sp macro="" textlink="I270">
        <xdr:nvSpPr>
          <xdr:cNvPr id="2802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7CABBE0-E3DE-4FAA-966F-BE64910CF2E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70">
        <xdr:nvSpPr>
          <xdr:cNvPr id="2803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63239E1-54ED-483C-AD54-88FCEBE9C80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70">
        <xdr:nvSpPr>
          <xdr:cNvPr id="2804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15B02B6-83E4-4611-BD47-C49AFB224AB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4000</a:t>
            </a:fld>
            <a:endParaRPr lang="en-US"/>
          </a:p>
        </xdr:txBody>
      </xdr:sp>
      <xdr:sp macro="" textlink="L270">
        <xdr:nvSpPr>
          <xdr:cNvPr id="2805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C258D35-79C1-4383-B890-9AD5A01DE01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70">
        <xdr:nvSpPr>
          <xdr:cNvPr id="2806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341D1BC-2AFA-4832-B4CD-186A71573D5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807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808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270</xdr:row>
      <xdr:rowOff>47625</xdr:rowOff>
    </xdr:from>
    <xdr:to>
      <xdr:col>18</xdr:col>
      <xdr:colOff>1219200</xdr:colOff>
      <xdr:row>270</xdr:row>
      <xdr:rowOff>276225</xdr:rowOff>
    </xdr:to>
    <xdr:grpSp>
      <xdr:nvGrpSpPr>
        <xdr:cNvPr id="2813" name="Group 4"/>
        <xdr:cNvGrpSpPr>
          <a:grpSpLocks/>
        </xdr:cNvGrpSpPr>
      </xdr:nvGrpSpPr>
      <xdr:grpSpPr bwMode="auto">
        <a:xfrm>
          <a:off x="6124575" y="101974650"/>
          <a:ext cx="1162050" cy="228600"/>
          <a:chOff x="545" y="97"/>
          <a:chExt cx="122" cy="24"/>
        </a:xfrm>
      </xdr:grpSpPr>
      <xdr:sp macro="" textlink="">
        <xdr:nvSpPr>
          <xdr:cNvPr id="2814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71">
        <xdr:nvSpPr>
          <xdr:cNvPr id="2815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690993B-5A2A-45B2-B56B-6DC7DBB91B8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71">
        <xdr:nvSpPr>
          <xdr:cNvPr id="2816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7765526-8FEC-40D9-B56F-A55689DED8F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4275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271</xdr:row>
      <xdr:rowOff>57150</xdr:rowOff>
    </xdr:from>
    <xdr:to>
      <xdr:col>18</xdr:col>
      <xdr:colOff>1905000</xdr:colOff>
      <xdr:row>271</xdr:row>
      <xdr:rowOff>647700</xdr:rowOff>
    </xdr:to>
    <xdr:grpSp>
      <xdr:nvGrpSpPr>
        <xdr:cNvPr id="2817" name="Group 2968"/>
        <xdr:cNvGrpSpPr>
          <a:grpSpLocks/>
        </xdr:cNvGrpSpPr>
      </xdr:nvGrpSpPr>
      <xdr:grpSpPr bwMode="auto">
        <a:xfrm>
          <a:off x="6124575" y="102317550"/>
          <a:ext cx="1847850" cy="590550"/>
          <a:chOff x="543" y="12509"/>
          <a:chExt cx="194" cy="62"/>
        </a:xfrm>
      </xdr:grpSpPr>
      <xdr:sp macro="" textlink="">
        <xdr:nvSpPr>
          <xdr:cNvPr id="2818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72">
        <xdr:nvSpPr>
          <xdr:cNvPr id="2819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9D2C92D-D80F-4A4E-890B-7F10C4A0B40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272">
        <xdr:nvSpPr>
          <xdr:cNvPr id="2820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675ED49-FD03-449B-B2BF-DDA9C82D0C8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272">
        <xdr:nvSpPr>
          <xdr:cNvPr id="2821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FCB4E51-5261-49A9-B4B1-863A06D0BD5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  <xdr:sp macro="" textlink="L272">
        <xdr:nvSpPr>
          <xdr:cNvPr id="2822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C096374-305C-4B2E-AD5C-A8184380ADB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272">
        <xdr:nvSpPr>
          <xdr:cNvPr id="2823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49789C5-CECD-45D6-B607-AC22C4C75F4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2824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25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26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272">
        <xdr:nvSpPr>
          <xdr:cNvPr id="2827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CF526DA-5770-440E-ADBC-028CAB0EE21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273</xdr:row>
      <xdr:rowOff>47625</xdr:rowOff>
    </xdr:from>
    <xdr:to>
      <xdr:col>18</xdr:col>
      <xdr:colOff>1219200</xdr:colOff>
      <xdr:row>273</xdr:row>
      <xdr:rowOff>276225</xdr:rowOff>
    </xdr:to>
    <xdr:grpSp>
      <xdr:nvGrpSpPr>
        <xdr:cNvPr id="2832" name="Group 4"/>
        <xdr:cNvGrpSpPr>
          <a:grpSpLocks/>
        </xdr:cNvGrpSpPr>
      </xdr:nvGrpSpPr>
      <xdr:grpSpPr bwMode="auto">
        <a:xfrm>
          <a:off x="6124575" y="103336725"/>
          <a:ext cx="1162050" cy="228600"/>
          <a:chOff x="545" y="97"/>
          <a:chExt cx="122" cy="24"/>
        </a:xfrm>
      </xdr:grpSpPr>
      <xdr:sp macro="" textlink="">
        <xdr:nvSpPr>
          <xdr:cNvPr id="2833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74">
        <xdr:nvSpPr>
          <xdr:cNvPr id="2841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E6A1CBF-CE4A-49BA-B67C-2089E6F9BDB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74">
        <xdr:nvSpPr>
          <xdr:cNvPr id="2842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09FB9B9-9D92-4C19-BC65-9390015AB9F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5400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275</xdr:row>
      <xdr:rowOff>47625</xdr:rowOff>
    </xdr:from>
    <xdr:to>
      <xdr:col>18</xdr:col>
      <xdr:colOff>1933575</xdr:colOff>
      <xdr:row>275</xdr:row>
      <xdr:rowOff>285750</xdr:rowOff>
    </xdr:to>
    <xdr:grpSp>
      <xdr:nvGrpSpPr>
        <xdr:cNvPr id="3065" name="Group 3094"/>
        <xdr:cNvGrpSpPr>
          <a:grpSpLocks/>
        </xdr:cNvGrpSpPr>
      </xdr:nvGrpSpPr>
      <xdr:grpSpPr bwMode="auto">
        <a:xfrm>
          <a:off x="6124575" y="104365425"/>
          <a:ext cx="1876425" cy="238125"/>
          <a:chOff x="626" y="613"/>
          <a:chExt cx="197" cy="25"/>
        </a:xfrm>
      </xdr:grpSpPr>
      <xdr:sp macro="" textlink="I276">
        <xdr:nvSpPr>
          <xdr:cNvPr id="3066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D8C0A7F-2D7A-42B7-A2BB-7994D50F617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76">
        <xdr:nvSpPr>
          <xdr:cNvPr id="3067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F620FF6-BB74-423D-BC29-89FF31031C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76">
        <xdr:nvSpPr>
          <xdr:cNvPr id="3068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2C53013-75DB-4C89-9489-F62DDA22639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2950</a:t>
            </a:fld>
            <a:endParaRPr lang="en-US"/>
          </a:p>
        </xdr:txBody>
      </xdr:sp>
      <xdr:sp macro="" textlink="L276">
        <xdr:nvSpPr>
          <xdr:cNvPr id="3069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987E6A7-E9C8-4F22-ADEC-D07CC778FCE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76">
        <xdr:nvSpPr>
          <xdr:cNvPr id="3070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678F323-E85C-42ED-BB06-162395A1478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071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072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276</xdr:row>
      <xdr:rowOff>47625</xdr:rowOff>
    </xdr:from>
    <xdr:to>
      <xdr:col>18</xdr:col>
      <xdr:colOff>1219200</xdr:colOff>
      <xdr:row>276</xdr:row>
      <xdr:rowOff>276225</xdr:rowOff>
    </xdr:to>
    <xdr:grpSp>
      <xdr:nvGrpSpPr>
        <xdr:cNvPr id="3077" name="Group 4"/>
        <xdr:cNvGrpSpPr>
          <a:grpSpLocks/>
        </xdr:cNvGrpSpPr>
      </xdr:nvGrpSpPr>
      <xdr:grpSpPr bwMode="auto">
        <a:xfrm>
          <a:off x="6124575" y="104698800"/>
          <a:ext cx="1162050" cy="228600"/>
          <a:chOff x="545" y="97"/>
          <a:chExt cx="122" cy="24"/>
        </a:xfrm>
      </xdr:grpSpPr>
      <xdr:sp macro="" textlink="">
        <xdr:nvSpPr>
          <xdr:cNvPr id="3078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77">
        <xdr:nvSpPr>
          <xdr:cNvPr id="3079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5C15D37-BA04-4133-AAF1-6A0628980CC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77">
        <xdr:nvSpPr>
          <xdr:cNvPr id="3080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2755408-CA87-4A0E-90DF-6A29C1B8985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11800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274</xdr:row>
      <xdr:rowOff>28575</xdr:rowOff>
    </xdr:from>
    <xdr:to>
      <xdr:col>18</xdr:col>
      <xdr:colOff>1724025</xdr:colOff>
      <xdr:row>274</xdr:row>
      <xdr:rowOff>295275</xdr:rowOff>
    </xdr:to>
    <xdr:grpSp>
      <xdr:nvGrpSpPr>
        <xdr:cNvPr id="3091" name="Group 3050"/>
        <xdr:cNvGrpSpPr>
          <a:grpSpLocks/>
        </xdr:cNvGrpSpPr>
      </xdr:nvGrpSpPr>
      <xdr:grpSpPr bwMode="auto">
        <a:xfrm>
          <a:off x="6124575" y="104013000"/>
          <a:ext cx="1666875" cy="266700"/>
          <a:chOff x="589" y="376"/>
          <a:chExt cx="175" cy="28"/>
        </a:xfrm>
      </xdr:grpSpPr>
      <xdr:sp macro="" textlink="I264">
        <xdr:nvSpPr>
          <xdr:cNvPr id="3092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194DD7B-8AB7-4AC5-8950-DAC2965D48B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264">
        <xdr:nvSpPr>
          <xdr:cNvPr id="3093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32B69F1-B5AF-4E79-A4DC-CAC76887D18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64">
        <xdr:nvSpPr>
          <xdr:cNvPr id="3094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5E90D24-612B-4069-AF6E-2A5329F5EE9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3095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096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277</xdr:row>
      <xdr:rowOff>47625</xdr:rowOff>
    </xdr:from>
    <xdr:to>
      <xdr:col>18</xdr:col>
      <xdr:colOff>1933575</xdr:colOff>
      <xdr:row>277</xdr:row>
      <xdr:rowOff>285750</xdr:rowOff>
    </xdr:to>
    <xdr:grpSp>
      <xdr:nvGrpSpPr>
        <xdr:cNvPr id="3097" name="Group 3094"/>
        <xdr:cNvGrpSpPr>
          <a:grpSpLocks/>
        </xdr:cNvGrpSpPr>
      </xdr:nvGrpSpPr>
      <xdr:grpSpPr bwMode="auto">
        <a:xfrm>
          <a:off x="6124575" y="105394125"/>
          <a:ext cx="1876425" cy="238125"/>
          <a:chOff x="626" y="613"/>
          <a:chExt cx="197" cy="25"/>
        </a:xfrm>
      </xdr:grpSpPr>
      <xdr:sp macro="" textlink="I278">
        <xdr:nvSpPr>
          <xdr:cNvPr id="309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5A8B630-2F8A-4ED8-8C95-A9B6D66B297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78">
        <xdr:nvSpPr>
          <xdr:cNvPr id="3099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3AA4B44-338A-45B2-BD43-F16E30B33ED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78">
        <xdr:nvSpPr>
          <xdr:cNvPr id="3100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7D4DBBB-B9F4-4FDE-BD3D-971910DC775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7775</a:t>
            </a:fld>
            <a:endParaRPr lang="en-US"/>
          </a:p>
        </xdr:txBody>
      </xdr:sp>
      <xdr:sp macro="" textlink="L278">
        <xdr:nvSpPr>
          <xdr:cNvPr id="3101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776351D-B04E-4F75-8D7E-ED5AB9FAD2B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78">
        <xdr:nvSpPr>
          <xdr:cNvPr id="310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A6D2779-09D1-4D02-9FAE-37181566368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10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10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278</xdr:row>
      <xdr:rowOff>47625</xdr:rowOff>
    </xdr:from>
    <xdr:to>
      <xdr:col>18</xdr:col>
      <xdr:colOff>1219200</xdr:colOff>
      <xdr:row>278</xdr:row>
      <xdr:rowOff>276225</xdr:rowOff>
    </xdr:to>
    <xdr:grpSp>
      <xdr:nvGrpSpPr>
        <xdr:cNvPr id="3105" name="Group 4"/>
        <xdr:cNvGrpSpPr>
          <a:grpSpLocks/>
        </xdr:cNvGrpSpPr>
      </xdr:nvGrpSpPr>
      <xdr:grpSpPr bwMode="auto">
        <a:xfrm>
          <a:off x="6124575" y="105727500"/>
          <a:ext cx="1162050" cy="228600"/>
          <a:chOff x="545" y="97"/>
          <a:chExt cx="122" cy="24"/>
        </a:xfrm>
      </xdr:grpSpPr>
      <xdr:sp macro="" textlink="">
        <xdr:nvSpPr>
          <xdr:cNvPr id="3106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79">
        <xdr:nvSpPr>
          <xdr:cNvPr id="3107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6F09A5A-7ED3-4A39-8E44-15EC7F67E9E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79">
        <xdr:nvSpPr>
          <xdr:cNvPr id="3108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961D9C0-8187-421A-B41B-F3377223283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6975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279</xdr:row>
      <xdr:rowOff>47625</xdr:rowOff>
    </xdr:from>
    <xdr:to>
      <xdr:col>18</xdr:col>
      <xdr:colOff>1933575</xdr:colOff>
      <xdr:row>279</xdr:row>
      <xdr:rowOff>285750</xdr:rowOff>
    </xdr:to>
    <xdr:grpSp>
      <xdr:nvGrpSpPr>
        <xdr:cNvPr id="3109" name="Group 3094"/>
        <xdr:cNvGrpSpPr>
          <a:grpSpLocks/>
        </xdr:cNvGrpSpPr>
      </xdr:nvGrpSpPr>
      <xdr:grpSpPr bwMode="auto">
        <a:xfrm>
          <a:off x="6124575" y="106422825"/>
          <a:ext cx="1876425" cy="238125"/>
          <a:chOff x="626" y="613"/>
          <a:chExt cx="197" cy="25"/>
        </a:xfrm>
      </xdr:grpSpPr>
      <xdr:sp macro="" textlink="I280">
        <xdr:nvSpPr>
          <xdr:cNvPr id="3110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DF6AC03-67E1-458C-A82C-FEEF1699BD7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80">
        <xdr:nvSpPr>
          <xdr:cNvPr id="3111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6F86036-C192-46FE-9DE4-D609E398217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80">
        <xdr:nvSpPr>
          <xdr:cNvPr id="3112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8C5AC71-6E72-4C5C-B1D5-13BE79FA77E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4775</a:t>
            </a:fld>
            <a:endParaRPr lang="en-US"/>
          </a:p>
        </xdr:txBody>
      </xdr:sp>
      <xdr:sp macro="" textlink="L280">
        <xdr:nvSpPr>
          <xdr:cNvPr id="3113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9C6EA62-F3B2-40F3-A2D6-4E50FB8B3F2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80">
        <xdr:nvSpPr>
          <xdr:cNvPr id="3114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DEACFDB-5B25-486B-96BB-10A47B62592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115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116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280</xdr:row>
      <xdr:rowOff>47625</xdr:rowOff>
    </xdr:from>
    <xdr:to>
      <xdr:col>18</xdr:col>
      <xdr:colOff>1933575</xdr:colOff>
      <xdr:row>280</xdr:row>
      <xdr:rowOff>285750</xdr:rowOff>
    </xdr:to>
    <xdr:grpSp>
      <xdr:nvGrpSpPr>
        <xdr:cNvPr id="3117" name="Group 3094"/>
        <xdr:cNvGrpSpPr>
          <a:grpSpLocks/>
        </xdr:cNvGrpSpPr>
      </xdr:nvGrpSpPr>
      <xdr:grpSpPr bwMode="auto">
        <a:xfrm>
          <a:off x="6124575" y="106756200"/>
          <a:ext cx="1876425" cy="238125"/>
          <a:chOff x="626" y="613"/>
          <a:chExt cx="197" cy="25"/>
        </a:xfrm>
      </xdr:grpSpPr>
      <xdr:sp macro="" textlink="I281">
        <xdr:nvSpPr>
          <xdr:cNvPr id="311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F58E335-BA8A-445B-B00A-5E8BC853474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81">
        <xdr:nvSpPr>
          <xdr:cNvPr id="3119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C3072AAE-0B8D-4A67-8D7A-3A1641B18D4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81">
        <xdr:nvSpPr>
          <xdr:cNvPr id="3120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9CEEC94-81EB-4179-9200-E59689D1C1B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11275</a:t>
            </a:fld>
            <a:endParaRPr lang="en-US"/>
          </a:p>
        </xdr:txBody>
      </xdr:sp>
      <xdr:sp macro="" textlink="L281">
        <xdr:nvSpPr>
          <xdr:cNvPr id="3121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2FF64C0-03F1-4898-9579-E9A2DDA9078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81">
        <xdr:nvSpPr>
          <xdr:cNvPr id="312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97E03D9-547A-44DD-9859-B21714A3F58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12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12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282</xdr:row>
      <xdr:rowOff>47625</xdr:rowOff>
    </xdr:from>
    <xdr:to>
      <xdr:col>18</xdr:col>
      <xdr:colOff>1219200</xdr:colOff>
      <xdr:row>282</xdr:row>
      <xdr:rowOff>276225</xdr:rowOff>
    </xdr:to>
    <xdr:grpSp>
      <xdr:nvGrpSpPr>
        <xdr:cNvPr id="3129" name="Group 4"/>
        <xdr:cNvGrpSpPr>
          <a:grpSpLocks/>
        </xdr:cNvGrpSpPr>
      </xdr:nvGrpSpPr>
      <xdr:grpSpPr bwMode="auto">
        <a:xfrm>
          <a:off x="6124575" y="107422950"/>
          <a:ext cx="1162050" cy="228600"/>
          <a:chOff x="545" y="97"/>
          <a:chExt cx="122" cy="24"/>
        </a:xfrm>
      </xdr:grpSpPr>
      <xdr:sp macro="" textlink="">
        <xdr:nvSpPr>
          <xdr:cNvPr id="3130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83">
        <xdr:nvSpPr>
          <xdr:cNvPr id="3131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6B3CFAC-8316-4115-9ADC-62BB76BA268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83">
        <xdr:nvSpPr>
          <xdr:cNvPr id="3132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A9E34E1-FC88-4348-9BA5-472313A768A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6275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281</xdr:row>
      <xdr:rowOff>76200</xdr:rowOff>
    </xdr:from>
    <xdr:to>
      <xdr:col>18</xdr:col>
      <xdr:colOff>1400175</xdr:colOff>
      <xdr:row>281</xdr:row>
      <xdr:rowOff>257175</xdr:rowOff>
    </xdr:to>
    <xdr:grpSp>
      <xdr:nvGrpSpPr>
        <xdr:cNvPr id="3144" name="Group 1"/>
        <xdr:cNvGrpSpPr>
          <a:grpSpLocks/>
        </xdr:cNvGrpSpPr>
      </xdr:nvGrpSpPr>
      <xdr:grpSpPr bwMode="auto">
        <a:xfrm>
          <a:off x="6591300" y="107118150"/>
          <a:ext cx="876300" cy="180975"/>
          <a:chOff x="594" y="27"/>
          <a:chExt cx="92" cy="19"/>
        </a:xfrm>
      </xdr:grpSpPr>
      <xdr:sp macro="" textlink="">
        <xdr:nvSpPr>
          <xdr:cNvPr id="3145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82">
        <xdr:nvSpPr>
          <xdr:cNvPr id="3146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458FD1D-5358-4C48-8973-8EEB9F8BEA7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3000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283</xdr:row>
      <xdr:rowOff>47625</xdr:rowOff>
    </xdr:from>
    <xdr:to>
      <xdr:col>18</xdr:col>
      <xdr:colOff>1933575</xdr:colOff>
      <xdr:row>283</xdr:row>
      <xdr:rowOff>285750</xdr:rowOff>
    </xdr:to>
    <xdr:grpSp>
      <xdr:nvGrpSpPr>
        <xdr:cNvPr id="3147" name="Group 3094"/>
        <xdr:cNvGrpSpPr>
          <a:grpSpLocks/>
        </xdr:cNvGrpSpPr>
      </xdr:nvGrpSpPr>
      <xdr:grpSpPr bwMode="auto">
        <a:xfrm>
          <a:off x="6124575" y="107756325"/>
          <a:ext cx="1876425" cy="238125"/>
          <a:chOff x="626" y="613"/>
          <a:chExt cx="197" cy="25"/>
        </a:xfrm>
      </xdr:grpSpPr>
      <xdr:sp macro="" textlink="I284">
        <xdr:nvSpPr>
          <xdr:cNvPr id="314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C9471FD-7F9A-47A1-8491-1DD9889E31C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84">
        <xdr:nvSpPr>
          <xdr:cNvPr id="3149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85B40EA-BE02-4A00-99B3-AE6663D6748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84">
        <xdr:nvSpPr>
          <xdr:cNvPr id="3150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A6A9991-5885-4E3B-9427-7BC8DF5AB32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5200</a:t>
            </a:fld>
            <a:endParaRPr lang="en-US"/>
          </a:p>
        </xdr:txBody>
      </xdr:sp>
      <xdr:sp macro="" textlink="L284">
        <xdr:nvSpPr>
          <xdr:cNvPr id="3151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43FAAD4-F80A-41B4-939B-FA7B0F13759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84">
        <xdr:nvSpPr>
          <xdr:cNvPr id="315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984A0D4-00E5-43F6-AD63-31391388096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">
        <xdr:nvSpPr>
          <xdr:cNvPr id="315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15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284</xdr:row>
      <xdr:rowOff>19050</xdr:rowOff>
    </xdr:from>
    <xdr:to>
      <xdr:col>18</xdr:col>
      <xdr:colOff>1905000</xdr:colOff>
      <xdr:row>284</xdr:row>
      <xdr:rowOff>304800</xdr:rowOff>
    </xdr:to>
    <xdr:grpSp>
      <xdr:nvGrpSpPr>
        <xdr:cNvPr id="3162" name="Group 3092"/>
        <xdr:cNvGrpSpPr>
          <a:grpSpLocks/>
        </xdr:cNvGrpSpPr>
      </xdr:nvGrpSpPr>
      <xdr:grpSpPr bwMode="auto">
        <a:xfrm>
          <a:off x="6115050" y="108423075"/>
          <a:ext cx="1857375" cy="285750"/>
          <a:chOff x="606" y="2035"/>
          <a:chExt cx="195" cy="30"/>
        </a:xfrm>
      </xdr:grpSpPr>
      <xdr:sp macro="" textlink="I285">
        <xdr:nvSpPr>
          <xdr:cNvPr id="3163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409986B-8959-42D7-A45D-AF29E2A6B2F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85">
        <xdr:nvSpPr>
          <xdr:cNvPr id="3164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CE5FEC95-A892-4859-8BB1-FAF618250DB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85">
        <xdr:nvSpPr>
          <xdr:cNvPr id="3165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A304195-38DF-473B-8719-48870B73F17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3150</a:t>
            </a:fld>
            <a:endParaRPr lang="en-US"/>
          </a:p>
        </xdr:txBody>
      </xdr:sp>
      <xdr:sp macro="" textlink="">
        <xdr:nvSpPr>
          <xdr:cNvPr id="3166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285">
        <xdr:nvSpPr>
          <xdr:cNvPr id="3167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5BDCF9E-3A4D-47B7-B128-7339DDC2DA9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3168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285</xdr:row>
      <xdr:rowOff>47625</xdr:rowOff>
    </xdr:from>
    <xdr:to>
      <xdr:col>18</xdr:col>
      <xdr:colOff>1219200</xdr:colOff>
      <xdr:row>285</xdr:row>
      <xdr:rowOff>276225</xdr:rowOff>
    </xdr:to>
    <xdr:grpSp>
      <xdr:nvGrpSpPr>
        <xdr:cNvPr id="3169" name="Group 4"/>
        <xdr:cNvGrpSpPr>
          <a:grpSpLocks/>
        </xdr:cNvGrpSpPr>
      </xdr:nvGrpSpPr>
      <xdr:grpSpPr bwMode="auto">
        <a:xfrm>
          <a:off x="6124575" y="108785025"/>
          <a:ext cx="1162050" cy="228600"/>
          <a:chOff x="545" y="97"/>
          <a:chExt cx="122" cy="24"/>
        </a:xfrm>
      </xdr:grpSpPr>
      <xdr:sp macro="" textlink="">
        <xdr:nvSpPr>
          <xdr:cNvPr id="3170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86">
        <xdr:nvSpPr>
          <xdr:cNvPr id="3171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38752F1-1BA7-46B2-8032-73A6181FADF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86">
        <xdr:nvSpPr>
          <xdr:cNvPr id="3172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BFC3091-E483-4E4F-A06A-980F9787659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4425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286</xdr:row>
      <xdr:rowOff>47625</xdr:rowOff>
    </xdr:from>
    <xdr:to>
      <xdr:col>18</xdr:col>
      <xdr:colOff>1933575</xdr:colOff>
      <xdr:row>286</xdr:row>
      <xdr:rowOff>285750</xdr:rowOff>
    </xdr:to>
    <xdr:grpSp>
      <xdr:nvGrpSpPr>
        <xdr:cNvPr id="3265" name="Group 3094"/>
        <xdr:cNvGrpSpPr>
          <a:grpSpLocks/>
        </xdr:cNvGrpSpPr>
      </xdr:nvGrpSpPr>
      <xdr:grpSpPr bwMode="auto">
        <a:xfrm>
          <a:off x="6124575" y="109118400"/>
          <a:ext cx="1876425" cy="238125"/>
          <a:chOff x="626" y="613"/>
          <a:chExt cx="197" cy="25"/>
        </a:xfrm>
      </xdr:grpSpPr>
      <xdr:sp macro="" textlink="I287">
        <xdr:nvSpPr>
          <xdr:cNvPr id="3266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4864FDB-27A1-43FA-8BFD-1EAF4869CD8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87">
        <xdr:nvSpPr>
          <xdr:cNvPr id="3267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C151678-67D6-4524-8659-E926389A24E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87">
        <xdr:nvSpPr>
          <xdr:cNvPr id="3268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55C16DD-2522-41F5-930E-9C5DAED557C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3275</a:t>
            </a:fld>
            <a:endParaRPr lang="en-US"/>
          </a:p>
        </xdr:txBody>
      </xdr:sp>
      <xdr:sp macro="" textlink="L287">
        <xdr:nvSpPr>
          <xdr:cNvPr id="3269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D9B2C37-C575-4A30-A881-BFD9D4511FE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87">
        <xdr:nvSpPr>
          <xdr:cNvPr id="3270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9EC1E9F-19E7-49A4-B9A5-8E629C08519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271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272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287</xdr:row>
      <xdr:rowOff>76200</xdr:rowOff>
    </xdr:from>
    <xdr:to>
      <xdr:col>18</xdr:col>
      <xdr:colOff>1400175</xdr:colOff>
      <xdr:row>287</xdr:row>
      <xdr:rowOff>257175</xdr:rowOff>
    </xdr:to>
    <xdr:grpSp>
      <xdr:nvGrpSpPr>
        <xdr:cNvPr id="3276" name="Group 1"/>
        <xdr:cNvGrpSpPr>
          <a:grpSpLocks/>
        </xdr:cNvGrpSpPr>
      </xdr:nvGrpSpPr>
      <xdr:grpSpPr bwMode="auto">
        <a:xfrm>
          <a:off x="6591300" y="109480350"/>
          <a:ext cx="876300" cy="180975"/>
          <a:chOff x="594" y="27"/>
          <a:chExt cx="92" cy="19"/>
        </a:xfrm>
      </xdr:grpSpPr>
      <xdr:sp macro="" textlink="">
        <xdr:nvSpPr>
          <xdr:cNvPr id="3277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88">
        <xdr:nvSpPr>
          <xdr:cNvPr id="3278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40D7887-A093-461A-BAE1-2AD48B343F4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4400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288</xdr:row>
      <xdr:rowOff>57150</xdr:rowOff>
    </xdr:from>
    <xdr:to>
      <xdr:col>18</xdr:col>
      <xdr:colOff>1905000</xdr:colOff>
      <xdr:row>288</xdr:row>
      <xdr:rowOff>647700</xdr:rowOff>
    </xdr:to>
    <xdr:grpSp>
      <xdr:nvGrpSpPr>
        <xdr:cNvPr id="3279" name="Group 2968"/>
        <xdr:cNvGrpSpPr>
          <a:grpSpLocks/>
        </xdr:cNvGrpSpPr>
      </xdr:nvGrpSpPr>
      <xdr:grpSpPr bwMode="auto">
        <a:xfrm>
          <a:off x="6124575" y="109794675"/>
          <a:ext cx="1847850" cy="276225"/>
          <a:chOff x="543" y="12509"/>
          <a:chExt cx="194" cy="62"/>
        </a:xfrm>
      </xdr:grpSpPr>
      <xdr:sp macro="" textlink="">
        <xdr:nvSpPr>
          <xdr:cNvPr id="3280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89">
        <xdr:nvSpPr>
          <xdr:cNvPr id="3281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C37B92CE-2519-4B53-A04D-855928607CD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289">
        <xdr:nvSpPr>
          <xdr:cNvPr id="3282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8198345-8DFE-4251-97C0-51B8127ECD4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289">
        <xdr:nvSpPr>
          <xdr:cNvPr id="3283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64918CA-0CDA-4E33-B450-107A6ED8B27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2600</a:t>
            </a:fld>
            <a:endParaRPr lang="en-US"/>
          </a:p>
        </xdr:txBody>
      </xdr:sp>
      <xdr:sp macro="" textlink="L289">
        <xdr:nvSpPr>
          <xdr:cNvPr id="3284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7FC47AC-BE2D-445C-96D7-69B87AB5BB4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289">
        <xdr:nvSpPr>
          <xdr:cNvPr id="3285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B8DE32A-B58C-49EC-8FCA-894EA228105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3286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287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288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289">
        <xdr:nvSpPr>
          <xdr:cNvPr id="3289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EB3F62E-6B95-44E9-8A01-87A20D71333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289</xdr:row>
      <xdr:rowOff>76200</xdr:rowOff>
    </xdr:from>
    <xdr:to>
      <xdr:col>18</xdr:col>
      <xdr:colOff>1400175</xdr:colOff>
      <xdr:row>289</xdr:row>
      <xdr:rowOff>257175</xdr:rowOff>
    </xdr:to>
    <xdr:grpSp>
      <xdr:nvGrpSpPr>
        <xdr:cNvPr id="3290" name="Group 1"/>
        <xdr:cNvGrpSpPr>
          <a:grpSpLocks/>
        </xdr:cNvGrpSpPr>
      </xdr:nvGrpSpPr>
      <xdr:grpSpPr bwMode="auto">
        <a:xfrm>
          <a:off x="6591300" y="110147100"/>
          <a:ext cx="876300" cy="180975"/>
          <a:chOff x="594" y="27"/>
          <a:chExt cx="92" cy="19"/>
        </a:xfrm>
      </xdr:grpSpPr>
      <xdr:sp macro="" textlink="">
        <xdr:nvSpPr>
          <xdr:cNvPr id="3291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90">
        <xdr:nvSpPr>
          <xdr:cNvPr id="3292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A262626-B9F2-4901-8A03-C155A2FE3B1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290</xdr:row>
      <xdr:rowOff>57150</xdr:rowOff>
    </xdr:from>
    <xdr:to>
      <xdr:col>18</xdr:col>
      <xdr:colOff>1905000</xdr:colOff>
      <xdr:row>290</xdr:row>
      <xdr:rowOff>647700</xdr:rowOff>
    </xdr:to>
    <xdr:grpSp>
      <xdr:nvGrpSpPr>
        <xdr:cNvPr id="3293" name="Group 2968"/>
        <xdr:cNvGrpSpPr>
          <a:grpSpLocks/>
        </xdr:cNvGrpSpPr>
      </xdr:nvGrpSpPr>
      <xdr:grpSpPr bwMode="auto">
        <a:xfrm>
          <a:off x="6124575" y="110461425"/>
          <a:ext cx="1847850" cy="276225"/>
          <a:chOff x="543" y="12509"/>
          <a:chExt cx="194" cy="62"/>
        </a:xfrm>
      </xdr:grpSpPr>
      <xdr:sp macro="" textlink="">
        <xdr:nvSpPr>
          <xdr:cNvPr id="3294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91">
        <xdr:nvSpPr>
          <xdr:cNvPr id="3295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368D3DA-CC20-4E72-A30D-DCB727BBCD3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291">
        <xdr:nvSpPr>
          <xdr:cNvPr id="3296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EC20B19-D266-4405-98DC-A54569166BA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291">
        <xdr:nvSpPr>
          <xdr:cNvPr id="3297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6B080F2-E531-4125-A450-8E7AC0F5E67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1825</a:t>
            </a:fld>
            <a:endParaRPr lang="en-US"/>
          </a:p>
        </xdr:txBody>
      </xdr:sp>
      <xdr:sp macro="" textlink="L291">
        <xdr:nvSpPr>
          <xdr:cNvPr id="3298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A3E032D-A1CD-4F0B-9BBF-8647DDDDEF5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291">
        <xdr:nvSpPr>
          <xdr:cNvPr id="3299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6404BE1-443E-4CC2-83C3-3C1F2D067CD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3300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01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02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291">
        <xdr:nvSpPr>
          <xdr:cNvPr id="3303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3097EE9-7B5A-4356-857D-C4F9C3E094C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291</xdr:row>
      <xdr:rowOff>47625</xdr:rowOff>
    </xdr:from>
    <xdr:to>
      <xdr:col>18</xdr:col>
      <xdr:colOff>1933575</xdr:colOff>
      <xdr:row>291</xdr:row>
      <xdr:rowOff>285750</xdr:rowOff>
    </xdr:to>
    <xdr:grpSp>
      <xdr:nvGrpSpPr>
        <xdr:cNvPr id="3304" name="Group 3094"/>
        <xdr:cNvGrpSpPr>
          <a:grpSpLocks/>
        </xdr:cNvGrpSpPr>
      </xdr:nvGrpSpPr>
      <xdr:grpSpPr bwMode="auto">
        <a:xfrm>
          <a:off x="6124575" y="110785275"/>
          <a:ext cx="1876425" cy="238125"/>
          <a:chOff x="626" y="613"/>
          <a:chExt cx="197" cy="25"/>
        </a:xfrm>
      </xdr:grpSpPr>
      <xdr:sp macro="" textlink="I292">
        <xdr:nvSpPr>
          <xdr:cNvPr id="3305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66DC6F8-6776-4F7B-90FE-4B7E5B705E4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92">
        <xdr:nvSpPr>
          <xdr:cNvPr id="3306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8C3D3F5-4337-49CF-AD05-C517FB942CC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92">
        <xdr:nvSpPr>
          <xdr:cNvPr id="3307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F258EC1-0C88-43F5-B178-88DC90295B5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3650</a:t>
            </a:fld>
            <a:endParaRPr lang="en-US"/>
          </a:p>
        </xdr:txBody>
      </xdr:sp>
      <xdr:sp macro="" textlink="L292">
        <xdr:nvSpPr>
          <xdr:cNvPr id="3308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1F96D1E-ED18-48C4-8E7C-16E5FACC1DD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92">
        <xdr:nvSpPr>
          <xdr:cNvPr id="3309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B5C042A-65EF-4F9A-B8DE-832C8295B47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310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311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292</xdr:row>
      <xdr:rowOff>47625</xdr:rowOff>
    </xdr:from>
    <xdr:to>
      <xdr:col>18</xdr:col>
      <xdr:colOff>1219200</xdr:colOff>
      <xdr:row>292</xdr:row>
      <xdr:rowOff>276225</xdr:rowOff>
    </xdr:to>
    <xdr:grpSp>
      <xdr:nvGrpSpPr>
        <xdr:cNvPr id="3316" name="Group 4"/>
        <xdr:cNvGrpSpPr>
          <a:grpSpLocks/>
        </xdr:cNvGrpSpPr>
      </xdr:nvGrpSpPr>
      <xdr:grpSpPr bwMode="auto">
        <a:xfrm>
          <a:off x="6124575" y="111118650"/>
          <a:ext cx="1162050" cy="228600"/>
          <a:chOff x="545" y="97"/>
          <a:chExt cx="122" cy="24"/>
        </a:xfrm>
      </xdr:grpSpPr>
      <xdr:sp macro="" textlink="">
        <xdr:nvSpPr>
          <xdr:cNvPr id="3317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93">
        <xdr:nvSpPr>
          <xdr:cNvPr id="3318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F144C3D-EF81-47FF-9A3D-92B57ED2102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93">
        <xdr:nvSpPr>
          <xdr:cNvPr id="3319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9982956-2A1D-4F94-8BAF-1EF5AD87368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4275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293</xdr:row>
      <xdr:rowOff>57150</xdr:rowOff>
    </xdr:from>
    <xdr:to>
      <xdr:col>18</xdr:col>
      <xdr:colOff>1905000</xdr:colOff>
      <xdr:row>293</xdr:row>
      <xdr:rowOff>647700</xdr:rowOff>
    </xdr:to>
    <xdr:grpSp>
      <xdr:nvGrpSpPr>
        <xdr:cNvPr id="3320" name="Group 2968"/>
        <xdr:cNvGrpSpPr>
          <a:grpSpLocks/>
        </xdr:cNvGrpSpPr>
      </xdr:nvGrpSpPr>
      <xdr:grpSpPr bwMode="auto">
        <a:xfrm>
          <a:off x="6124575" y="111461550"/>
          <a:ext cx="1847850" cy="276225"/>
          <a:chOff x="543" y="12509"/>
          <a:chExt cx="194" cy="62"/>
        </a:xfrm>
      </xdr:grpSpPr>
      <xdr:sp macro="" textlink="">
        <xdr:nvSpPr>
          <xdr:cNvPr id="3321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94">
        <xdr:nvSpPr>
          <xdr:cNvPr id="3322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F18F6B8-9425-4794-BF72-453A77A51C5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294">
        <xdr:nvSpPr>
          <xdr:cNvPr id="3323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5A87712-5E76-4868-A645-E2B55DBF2D9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294">
        <xdr:nvSpPr>
          <xdr:cNvPr id="3324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F9723E9-A061-4E79-A3FB-EFE9E8DA206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2000</a:t>
            </a:fld>
            <a:endParaRPr lang="en-US"/>
          </a:p>
        </xdr:txBody>
      </xdr:sp>
      <xdr:sp macro="" textlink="L294">
        <xdr:nvSpPr>
          <xdr:cNvPr id="3325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8CE7C67-65B9-4D9A-BA39-2AF4BDEE7E3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294">
        <xdr:nvSpPr>
          <xdr:cNvPr id="3326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18F5F1C-9523-4F81-B07A-D13E2AEFDDC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3327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28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29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294">
        <xdr:nvSpPr>
          <xdr:cNvPr id="3330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CB1EA0E-6360-4851-91D8-C046E4CF0B9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294</xdr:row>
      <xdr:rowOff>76200</xdr:rowOff>
    </xdr:from>
    <xdr:to>
      <xdr:col>18</xdr:col>
      <xdr:colOff>1400175</xdr:colOff>
      <xdr:row>294</xdr:row>
      <xdr:rowOff>257175</xdr:rowOff>
    </xdr:to>
    <xdr:grpSp>
      <xdr:nvGrpSpPr>
        <xdr:cNvPr id="3334" name="Group 1"/>
        <xdr:cNvGrpSpPr>
          <a:grpSpLocks/>
        </xdr:cNvGrpSpPr>
      </xdr:nvGrpSpPr>
      <xdr:grpSpPr bwMode="auto">
        <a:xfrm>
          <a:off x="6591300" y="111813975"/>
          <a:ext cx="876300" cy="180975"/>
          <a:chOff x="594" y="27"/>
          <a:chExt cx="92" cy="19"/>
        </a:xfrm>
      </xdr:grpSpPr>
      <xdr:sp macro="" textlink="">
        <xdr:nvSpPr>
          <xdr:cNvPr id="3335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295">
        <xdr:nvSpPr>
          <xdr:cNvPr id="3336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3326733-1956-4AE6-9B4D-CE3AEAF9B82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5200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353</xdr:row>
      <xdr:rowOff>28575</xdr:rowOff>
    </xdr:from>
    <xdr:to>
      <xdr:col>18</xdr:col>
      <xdr:colOff>1724025</xdr:colOff>
      <xdr:row>353</xdr:row>
      <xdr:rowOff>295275</xdr:rowOff>
    </xdr:to>
    <xdr:grpSp>
      <xdr:nvGrpSpPr>
        <xdr:cNvPr id="3951" name="Group 3050"/>
        <xdr:cNvGrpSpPr>
          <a:grpSpLocks/>
        </xdr:cNvGrpSpPr>
      </xdr:nvGrpSpPr>
      <xdr:grpSpPr bwMode="auto">
        <a:xfrm>
          <a:off x="6124575" y="134045325"/>
          <a:ext cx="1666875" cy="266700"/>
          <a:chOff x="589" y="376"/>
          <a:chExt cx="175" cy="28"/>
        </a:xfrm>
      </xdr:grpSpPr>
      <xdr:sp macro="" textlink="I239">
        <xdr:nvSpPr>
          <xdr:cNvPr id="3952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2332A82-15E1-4652-AD58-7F873038A2C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239">
        <xdr:nvSpPr>
          <xdr:cNvPr id="3953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FE7ED55-72C8-4540-818B-CD55030E07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39">
        <xdr:nvSpPr>
          <xdr:cNvPr id="3954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1181196-DB94-495B-AAFA-3079143784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3955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956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295</xdr:row>
      <xdr:rowOff>57150</xdr:rowOff>
    </xdr:from>
    <xdr:to>
      <xdr:col>18</xdr:col>
      <xdr:colOff>1905000</xdr:colOff>
      <xdr:row>295</xdr:row>
      <xdr:rowOff>647700</xdr:rowOff>
    </xdr:to>
    <xdr:grpSp>
      <xdr:nvGrpSpPr>
        <xdr:cNvPr id="3957" name="Group 2968"/>
        <xdr:cNvGrpSpPr>
          <a:grpSpLocks/>
        </xdr:cNvGrpSpPr>
      </xdr:nvGrpSpPr>
      <xdr:grpSpPr bwMode="auto">
        <a:xfrm>
          <a:off x="6124575" y="112128300"/>
          <a:ext cx="1847850" cy="276225"/>
          <a:chOff x="543" y="12509"/>
          <a:chExt cx="194" cy="62"/>
        </a:xfrm>
      </xdr:grpSpPr>
      <xdr:sp macro="" textlink="">
        <xdr:nvSpPr>
          <xdr:cNvPr id="3958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96">
        <xdr:nvSpPr>
          <xdr:cNvPr id="3959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2F2FFF6-296D-48CB-9E9B-5F0E75707D6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296">
        <xdr:nvSpPr>
          <xdr:cNvPr id="3960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C62DA31-7EEC-43B3-9205-1C05955A0F7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296">
        <xdr:nvSpPr>
          <xdr:cNvPr id="3961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6F3249F-C184-4CDF-AE74-BF2F45DE1A0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3825</a:t>
            </a:fld>
            <a:endParaRPr lang="en-US"/>
          </a:p>
        </xdr:txBody>
      </xdr:sp>
      <xdr:sp macro="" textlink="L296">
        <xdr:nvSpPr>
          <xdr:cNvPr id="3962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9823F2B-98CF-4B96-9804-DEE1882B627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296">
        <xdr:nvSpPr>
          <xdr:cNvPr id="3963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1FAAC6B-CF4D-482E-BFED-AF280F8A021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3964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965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966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296">
        <xdr:nvSpPr>
          <xdr:cNvPr id="3967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8C2440B-6A09-4FB9-83CB-6EBDB4016B3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296</xdr:row>
      <xdr:rowOff>47625</xdr:rowOff>
    </xdr:from>
    <xdr:to>
      <xdr:col>18</xdr:col>
      <xdr:colOff>1219200</xdr:colOff>
      <xdr:row>296</xdr:row>
      <xdr:rowOff>276225</xdr:rowOff>
    </xdr:to>
    <xdr:grpSp>
      <xdr:nvGrpSpPr>
        <xdr:cNvPr id="3972" name="Group 4"/>
        <xdr:cNvGrpSpPr>
          <a:grpSpLocks/>
        </xdr:cNvGrpSpPr>
      </xdr:nvGrpSpPr>
      <xdr:grpSpPr bwMode="auto">
        <a:xfrm>
          <a:off x="6124575" y="112452150"/>
          <a:ext cx="1162050" cy="228600"/>
          <a:chOff x="545" y="97"/>
          <a:chExt cx="122" cy="24"/>
        </a:xfrm>
      </xdr:grpSpPr>
      <xdr:sp macro="" textlink="">
        <xdr:nvSpPr>
          <xdr:cNvPr id="3973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97">
        <xdr:nvSpPr>
          <xdr:cNvPr id="3974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8E410C7-E8C7-414D-96E8-2C3BC32C5D6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297">
        <xdr:nvSpPr>
          <xdr:cNvPr id="3975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E13A8B6-2279-4304-9CA5-FFBDBAFD52F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4950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298</xdr:row>
      <xdr:rowOff>47625</xdr:rowOff>
    </xdr:from>
    <xdr:to>
      <xdr:col>18</xdr:col>
      <xdr:colOff>1933575</xdr:colOff>
      <xdr:row>298</xdr:row>
      <xdr:rowOff>285750</xdr:rowOff>
    </xdr:to>
    <xdr:grpSp>
      <xdr:nvGrpSpPr>
        <xdr:cNvPr id="3976" name="Group 3094"/>
        <xdr:cNvGrpSpPr>
          <a:grpSpLocks/>
        </xdr:cNvGrpSpPr>
      </xdr:nvGrpSpPr>
      <xdr:grpSpPr bwMode="auto">
        <a:xfrm>
          <a:off x="6124575" y="113118900"/>
          <a:ext cx="1876425" cy="238125"/>
          <a:chOff x="626" y="613"/>
          <a:chExt cx="197" cy="25"/>
        </a:xfrm>
      </xdr:grpSpPr>
      <xdr:sp macro="" textlink="I299">
        <xdr:nvSpPr>
          <xdr:cNvPr id="3977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E7284AE-650A-4046-AD94-C39E44CCF98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299">
        <xdr:nvSpPr>
          <xdr:cNvPr id="3978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261639D-D7E2-4655-8387-FF0F9C9A406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299">
        <xdr:nvSpPr>
          <xdr:cNvPr id="3979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9A10D73-CA53-4571-954B-6E8D0DBEFDE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5175</a:t>
            </a:fld>
            <a:endParaRPr lang="en-US"/>
          </a:p>
        </xdr:txBody>
      </xdr:sp>
      <xdr:sp macro="" textlink="L299">
        <xdr:nvSpPr>
          <xdr:cNvPr id="3980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A397302-FC52-4998-95A1-8CE1D7561E7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299">
        <xdr:nvSpPr>
          <xdr:cNvPr id="3981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B92DCC5-233A-4379-943B-96C32D8111F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982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983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299</xdr:row>
      <xdr:rowOff>76200</xdr:rowOff>
    </xdr:from>
    <xdr:to>
      <xdr:col>18</xdr:col>
      <xdr:colOff>1400175</xdr:colOff>
      <xdr:row>299</xdr:row>
      <xdr:rowOff>257175</xdr:rowOff>
    </xdr:to>
    <xdr:grpSp>
      <xdr:nvGrpSpPr>
        <xdr:cNvPr id="3987" name="Group 1"/>
        <xdr:cNvGrpSpPr>
          <a:grpSpLocks/>
        </xdr:cNvGrpSpPr>
      </xdr:nvGrpSpPr>
      <xdr:grpSpPr bwMode="auto">
        <a:xfrm>
          <a:off x="6591300" y="113842800"/>
          <a:ext cx="876300" cy="180975"/>
          <a:chOff x="594" y="27"/>
          <a:chExt cx="92" cy="19"/>
        </a:xfrm>
      </xdr:grpSpPr>
      <xdr:sp macro="" textlink="">
        <xdr:nvSpPr>
          <xdr:cNvPr id="3988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00">
        <xdr:nvSpPr>
          <xdr:cNvPr id="3989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570E12A-05F9-4DA3-8CCC-6EB9AB579D4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300</xdr:row>
      <xdr:rowOff>57150</xdr:rowOff>
    </xdr:from>
    <xdr:to>
      <xdr:col>18</xdr:col>
      <xdr:colOff>1905000</xdr:colOff>
      <xdr:row>300</xdr:row>
      <xdr:rowOff>647700</xdr:rowOff>
    </xdr:to>
    <xdr:grpSp>
      <xdr:nvGrpSpPr>
        <xdr:cNvPr id="3990" name="Group 2968"/>
        <xdr:cNvGrpSpPr>
          <a:grpSpLocks/>
        </xdr:cNvGrpSpPr>
      </xdr:nvGrpSpPr>
      <xdr:grpSpPr bwMode="auto">
        <a:xfrm>
          <a:off x="6124575" y="114157125"/>
          <a:ext cx="1847850" cy="276225"/>
          <a:chOff x="543" y="12509"/>
          <a:chExt cx="194" cy="62"/>
        </a:xfrm>
      </xdr:grpSpPr>
      <xdr:sp macro="" textlink="">
        <xdr:nvSpPr>
          <xdr:cNvPr id="3991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01">
        <xdr:nvSpPr>
          <xdr:cNvPr id="3992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C289953F-8D58-4BF2-A636-36992FEC942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301">
        <xdr:nvSpPr>
          <xdr:cNvPr id="3993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1326E6F-8BB1-4BBB-BF97-4AF7F64612B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301">
        <xdr:nvSpPr>
          <xdr:cNvPr id="3994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62D9D5F-C433-412E-8F02-30599CD5329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3025</a:t>
            </a:fld>
            <a:endParaRPr lang="en-US"/>
          </a:p>
        </xdr:txBody>
      </xdr:sp>
      <xdr:sp macro="" textlink="L301">
        <xdr:nvSpPr>
          <xdr:cNvPr id="3995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CCFDE12-865A-4246-9B45-936E980E40D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301">
        <xdr:nvSpPr>
          <xdr:cNvPr id="3996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F192396-95B9-41EC-835C-7EA417BFFC6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3997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998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999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301">
        <xdr:nvSpPr>
          <xdr:cNvPr id="4000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D77A761-DB8D-4650-9A8B-06BCD7BD9D4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302</xdr:row>
      <xdr:rowOff>47625</xdr:rowOff>
    </xdr:from>
    <xdr:to>
      <xdr:col>18</xdr:col>
      <xdr:colOff>1933575</xdr:colOff>
      <xdr:row>302</xdr:row>
      <xdr:rowOff>285750</xdr:rowOff>
    </xdr:to>
    <xdr:grpSp>
      <xdr:nvGrpSpPr>
        <xdr:cNvPr id="4009" name="Group 3094"/>
        <xdr:cNvGrpSpPr>
          <a:grpSpLocks/>
        </xdr:cNvGrpSpPr>
      </xdr:nvGrpSpPr>
      <xdr:grpSpPr bwMode="auto">
        <a:xfrm>
          <a:off x="6124575" y="114814350"/>
          <a:ext cx="1876425" cy="238125"/>
          <a:chOff x="626" y="613"/>
          <a:chExt cx="197" cy="25"/>
        </a:xfrm>
      </xdr:grpSpPr>
      <xdr:sp macro="" textlink="I303">
        <xdr:nvSpPr>
          <xdr:cNvPr id="4010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F81D9FF-BF9C-4617-8914-69A18B27115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03">
        <xdr:nvSpPr>
          <xdr:cNvPr id="4011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F169A35-D6F4-4751-8612-7870FFCF2DA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03">
        <xdr:nvSpPr>
          <xdr:cNvPr id="4012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BF98623-C4A2-42FD-9AD8-9E3961A15B8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6575</a:t>
            </a:fld>
            <a:endParaRPr lang="en-US"/>
          </a:p>
        </xdr:txBody>
      </xdr:sp>
      <xdr:sp macro="" textlink="L303">
        <xdr:nvSpPr>
          <xdr:cNvPr id="4013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6438133-38BC-4CD8-8899-D67C6853D72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03">
        <xdr:nvSpPr>
          <xdr:cNvPr id="4014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F7CB5077-8F32-4686-AE78-ADF896823AD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015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016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303</xdr:row>
      <xdr:rowOff>76200</xdr:rowOff>
    </xdr:from>
    <xdr:to>
      <xdr:col>18</xdr:col>
      <xdr:colOff>1400175</xdr:colOff>
      <xdr:row>303</xdr:row>
      <xdr:rowOff>257175</xdr:rowOff>
    </xdr:to>
    <xdr:grpSp>
      <xdr:nvGrpSpPr>
        <xdr:cNvPr id="4020" name="Group 1"/>
        <xdr:cNvGrpSpPr>
          <a:grpSpLocks/>
        </xdr:cNvGrpSpPr>
      </xdr:nvGrpSpPr>
      <xdr:grpSpPr bwMode="auto">
        <a:xfrm>
          <a:off x="6591300" y="115176300"/>
          <a:ext cx="876300" cy="180975"/>
          <a:chOff x="594" y="27"/>
          <a:chExt cx="92" cy="19"/>
        </a:xfrm>
      </xdr:grpSpPr>
      <xdr:sp macro="" textlink="">
        <xdr:nvSpPr>
          <xdr:cNvPr id="4021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04">
        <xdr:nvSpPr>
          <xdr:cNvPr id="4022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29C7C3A-F15A-49FF-BAEB-B52953BD59A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6225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304</xdr:row>
      <xdr:rowOff>47625</xdr:rowOff>
    </xdr:from>
    <xdr:to>
      <xdr:col>18</xdr:col>
      <xdr:colOff>1933575</xdr:colOff>
      <xdr:row>304</xdr:row>
      <xdr:rowOff>285750</xdr:rowOff>
    </xdr:to>
    <xdr:grpSp>
      <xdr:nvGrpSpPr>
        <xdr:cNvPr id="4023" name="Group 3094"/>
        <xdr:cNvGrpSpPr>
          <a:grpSpLocks/>
        </xdr:cNvGrpSpPr>
      </xdr:nvGrpSpPr>
      <xdr:grpSpPr bwMode="auto">
        <a:xfrm>
          <a:off x="6124575" y="115481100"/>
          <a:ext cx="1876425" cy="238125"/>
          <a:chOff x="626" y="613"/>
          <a:chExt cx="197" cy="25"/>
        </a:xfrm>
      </xdr:grpSpPr>
      <xdr:sp macro="" textlink="I305">
        <xdr:nvSpPr>
          <xdr:cNvPr id="4024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277992B-55F0-44DC-B66E-112D0CDF256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05">
        <xdr:nvSpPr>
          <xdr:cNvPr id="4025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DE4EDC9-2F9A-4950-B5DC-A7CA45AF2F7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05">
        <xdr:nvSpPr>
          <xdr:cNvPr id="4026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511AE16-DC08-45F8-BAAB-D086ED84DB5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  <xdr:sp macro="" textlink="L305">
        <xdr:nvSpPr>
          <xdr:cNvPr id="4027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1997F6F-E560-4838-8128-39EE31DA2E6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05">
        <xdr:nvSpPr>
          <xdr:cNvPr id="4028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1062AF5-B9FF-49CE-A5F8-B64703F45C3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029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030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305</xdr:row>
      <xdr:rowOff>28575</xdr:rowOff>
    </xdr:from>
    <xdr:to>
      <xdr:col>18</xdr:col>
      <xdr:colOff>1724025</xdr:colOff>
      <xdr:row>305</xdr:row>
      <xdr:rowOff>295275</xdr:rowOff>
    </xdr:to>
    <xdr:grpSp>
      <xdr:nvGrpSpPr>
        <xdr:cNvPr id="4037" name="Group 3050"/>
        <xdr:cNvGrpSpPr>
          <a:grpSpLocks/>
        </xdr:cNvGrpSpPr>
      </xdr:nvGrpSpPr>
      <xdr:grpSpPr bwMode="auto">
        <a:xfrm>
          <a:off x="6124575" y="116157375"/>
          <a:ext cx="1666875" cy="266700"/>
          <a:chOff x="589" y="376"/>
          <a:chExt cx="175" cy="28"/>
        </a:xfrm>
      </xdr:grpSpPr>
      <xdr:sp macro="" textlink="I306">
        <xdr:nvSpPr>
          <xdr:cNvPr id="4038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9FEC8AC-3BAF-443D-AB3C-69CD173BEE0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06">
        <xdr:nvSpPr>
          <xdr:cNvPr id="4039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8A3C5D6-07BB-4AA2-B84E-CED73D76E61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06">
        <xdr:nvSpPr>
          <xdr:cNvPr id="4040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FD68CAF-A838-4FB7-851D-392540B7FDE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4041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042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297</xdr:row>
      <xdr:rowOff>28575</xdr:rowOff>
    </xdr:from>
    <xdr:to>
      <xdr:col>18</xdr:col>
      <xdr:colOff>1724025</xdr:colOff>
      <xdr:row>297</xdr:row>
      <xdr:rowOff>295275</xdr:rowOff>
    </xdr:to>
    <xdr:grpSp>
      <xdr:nvGrpSpPr>
        <xdr:cNvPr id="4043" name="Group 3050"/>
        <xdr:cNvGrpSpPr>
          <a:grpSpLocks/>
        </xdr:cNvGrpSpPr>
      </xdr:nvGrpSpPr>
      <xdr:grpSpPr bwMode="auto">
        <a:xfrm>
          <a:off x="6124575" y="112766475"/>
          <a:ext cx="1666875" cy="266700"/>
          <a:chOff x="589" y="376"/>
          <a:chExt cx="175" cy="28"/>
        </a:xfrm>
      </xdr:grpSpPr>
      <xdr:sp macro="" textlink="I306">
        <xdr:nvSpPr>
          <xdr:cNvPr id="4044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9FEC8AC-3BAF-443D-AB3C-69CD173BEE0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06">
        <xdr:nvSpPr>
          <xdr:cNvPr id="4045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8A3C5D6-07BB-4AA2-B84E-CED73D76E61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06">
        <xdr:nvSpPr>
          <xdr:cNvPr id="4046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FD68CAF-A838-4FB7-851D-392540B7FDE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4047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048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306</xdr:row>
      <xdr:rowOff>66675</xdr:rowOff>
    </xdr:from>
    <xdr:to>
      <xdr:col>18</xdr:col>
      <xdr:colOff>1666875</xdr:colOff>
      <xdr:row>306</xdr:row>
      <xdr:rowOff>247650</xdr:rowOff>
    </xdr:to>
    <xdr:grpSp>
      <xdr:nvGrpSpPr>
        <xdr:cNvPr id="4056" name="Group 3085"/>
        <xdr:cNvGrpSpPr>
          <a:grpSpLocks/>
        </xdr:cNvGrpSpPr>
      </xdr:nvGrpSpPr>
      <xdr:grpSpPr bwMode="auto">
        <a:xfrm>
          <a:off x="6124575" y="116528850"/>
          <a:ext cx="1609725" cy="180975"/>
          <a:chOff x="607" y="1007"/>
          <a:chExt cx="169" cy="19"/>
        </a:xfrm>
      </xdr:grpSpPr>
      <xdr:sp macro="" textlink="">
        <xdr:nvSpPr>
          <xdr:cNvPr id="4057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07">
        <xdr:nvSpPr>
          <xdr:cNvPr id="4058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634FA19-7592-41E7-BB00-48B4106FC44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07">
        <xdr:nvSpPr>
          <xdr:cNvPr id="4059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DC7CA02-36C3-4614-87CC-3288D11A0F7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4275</a:t>
            </a:fld>
            <a:endParaRPr lang="en-US"/>
          </a:p>
        </xdr:txBody>
      </xdr:sp>
      <xdr:sp macro="" textlink="K307">
        <xdr:nvSpPr>
          <xdr:cNvPr id="4060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0618DFF-65B3-4BDA-91D8-E94A8DBC43F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307</xdr:row>
      <xdr:rowOff>28575</xdr:rowOff>
    </xdr:from>
    <xdr:to>
      <xdr:col>18</xdr:col>
      <xdr:colOff>1724025</xdr:colOff>
      <xdr:row>307</xdr:row>
      <xdr:rowOff>295275</xdr:rowOff>
    </xdr:to>
    <xdr:grpSp>
      <xdr:nvGrpSpPr>
        <xdr:cNvPr id="4067" name="Group 3050"/>
        <xdr:cNvGrpSpPr>
          <a:grpSpLocks/>
        </xdr:cNvGrpSpPr>
      </xdr:nvGrpSpPr>
      <xdr:grpSpPr bwMode="auto">
        <a:xfrm>
          <a:off x="6124575" y="116824125"/>
          <a:ext cx="1666875" cy="266700"/>
          <a:chOff x="589" y="376"/>
          <a:chExt cx="175" cy="28"/>
        </a:xfrm>
      </xdr:grpSpPr>
      <xdr:sp macro="" textlink="I308">
        <xdr:nvSpPr>
          <xdr:cNvPr id="4068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C01C8C3-C3EF-459B-84D4-89BC5F1819C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08">
        <xdr:nvSpPr>
          <xdr:cNvPr id="4069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6EA66F5-AA43-4333-B84A-B91DDED9B46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08">
        <xdr:nvSpPr>
          <xdr:cNvPr id="4070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4CF348B-3CEC-459E-BBE3-21050B707AE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4071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072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308</xdr:row>
      <xdr:rowOff>47625</xdr:rowOff>
    </xdr:from>
    <xdr:to>
      <xdr:col>18</xdr:col>
      <xdr:colOff>1933575</xdr:colOff>
      <xdr:row>308</xdr:row>
      <xdr:rowOff>285750</xdr:rowOff>
    </xdr:to>
    <xdr:grpSp>
      <xdr:nvGrpSpPr>
        <xdr:cNvPr id="4073" name="Group 3094"/>
        <xdr:cNvGrpSpPr>
          <a:grpSpLocks/>
        </xdr:cNvGrpSpPr>
      </xdr:nvGrpSpPr>
      <xdr:grpSpPr bwMode="auto">
        <a:xfrm>
          <a:off x="6124575" y="117176550"/>
          <a:ext cx="1876425" cy="238125"/>
          <a:chOff x="626" y="613"/>
          <a:chExt cx="197" cy="25"/>
        </a:xfrm>
      </xdr:grpSpPr>
      <xdr:sp macro="" textlink="I309">
        <xdr:nvSpPr>
          <xdr:cNvPr id="4074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5663B64-BEDF-4925-8EAA-39CFDB3ED13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09">
        <xdr:nvSpPr>
          <xdr:cNvPr id="4075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6648793-DFA1-4D04-9FA1-12876DB63DF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09">
        <xdr:nvSpPr>
          <xdr:cNvPr id="4076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9F50C7B-B12A-40EB-BC8E-4AC606E6FAA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4625</a:t>
            </a:fld>
            <a:endParaRPr lang="en-US"/>
          </a:p>
        </xdr:txBody>
      </xdr:sp>
      <xdr:sp macro="" textlink="L309">
        <xdr:nvSpPr>
          <xdr:cNvPr id="4077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B0D0449-7CCA-46D9-9175-C9F1AEE3368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09">
        <xdr:nvSpPr>
          <xdr:cNvPr id="4078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1E0F8F2-8AF1-446A-8B74-541AF901869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079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080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309</xdr:row>
      <xdr:rowOff>47625</xdr:rowOff>
    </xdr:from>
    <xdr:to>
      <xdr:col>18</xdr:col>
      <xdr:colOff>1219200</xdr:colOff>
      <xdr:row>309</xdr:row>
      <xdr:rowOff>276225</xdr:rowOff>
    </xdr:to>
    <xdr:grpSp>
      <xdr:nvGrpSpPr>
        <xdr:cNvPr id="4085" name="Group 4"/>
        <xdr:cNvGrpSpPr>
          <a:grpSpLocks/>
        </xdr:cNvGrpSpPr>
      </xdr:nvGrpSpPr>
      <xdr:grpSpPr bwMode="auto">
        <a:xfrm>
          <a:off x="6124575" y="117509925"/>
          <a:ext cx="1162050" cy="228600"/>
          <a:chOff x="545" y="97"/>
          <a:chExt cx="122" cy="24"/>
        </a:xfrm>
      </xdr:grpSpPr>
      <xdr:sp macro="" textlink="">
        <xdr:nvSpPr>
          <xdr:cNvPr id="4086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10">
        <xdr:nvSpPr>
          <xdr:cNvPr id="4087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72D47B9-67A3-4103-9F34-280D3C1D3A2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10">
        <xdr:nvSpPr>
          <xdr:cNvPr id="4088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B1638C4-9C25-4D66-A96C-DD0ACD898EA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4225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310</xdr:row>
      <xdr:rowOff>66675</xdr:rowOff>
    </xdr:from>
    <xdr:to>
      <xdr:col>18</xdr:col>
      <xdr:colOff>1666875</xdr:colOff>
      <xdr:row>310</xdr:row>
      <xdr:rowOff>247650</xdr:rowOff>
    </xdr:to>
    <xdr:grpSp>
      <xdr:nvGrpSpPr>
        <xdr:cNvPr id="4089" name="Group 3085"/>
        <xdr:cNvGrpSpPr>
          <a:grpSpLocks/>
        </xdr:cNvGrpSpPr>
      </xdr:nvGrpSpPr>
      <xdr:grpSpPr bwMode="auto">
        <a:xfrm>
          <a:off x="6124575" y="117862350"/>
          <a:ext cx="1609725" cy="180975"/>
          <a:chOff x="607" y="1007"/>
          <a:chExt cx="169" cy="19"/>
        </a:xfrm>
      </xdr:grpSpPr>
      <xdr:sp macro="" textlink="">
        <xdr:nvSpPr>
          <xdr:cNvPr id="4090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11">
        <xdr:nvSpPr>
          <xdr:cNvPr id="4091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13F4316-930E-4802-A9D4-AD1765B1B45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11">
        <xdr:nvSpPr>
          <xdr:cNvPr id="4092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CA5D34A-082D-48E4-8CCA-264B87321C2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8850</a:t>
            </a:fld>
            <a:endParaRPr lang="en-US"/>
          </a:p>
        </xdr:txBody>
      </xdr:sp>
      <xdr:sp macro="" textlink="K311">
        <xdr:nvSpPr>
          <xdr:cNvPr id="4093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90723FA-8BF6-4BF7-9AC3-F732BB05CD6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311</xdr:row>
      <xdr:rowOff>76200</xdr:rowOff>
    </xdr:from>
    <xdr:to>
      <xdr:col>18</xdr:col>
      <xdr:colOff>1400175</xdr:colOff>
      <xdr:row>311</xdr:row>
      <xdr:rowOff>257175</xdr:rowOff>
    </xdr:to>
    <xdr:grpSp>
      <xdr:nvGrpSpPr>
        <xdr:cNvPr id="4097" name="Group 1"/>
        <xdr:cNvGrpSpPr>
          <a:grpSpLocks/>
        </xdr:cNvGrpSpPr>
      </xdr:nvGrpSpPr>
      <xdr:grpSpPr bwMode="auto">
        <a:xfrm>
          <a:off x="6591300" y="118205250"/>
          <a:ext cx="876300" cy="180975"/>
          <a:chOff x="594" y="27"/>
          <a:chExt cx="92" cy="19"/>
        </a:xfrm>
      </xdr:grpSpPr>
      <xdr:sp macro="" textlink="">
        <xdr:nvSpPr>
          <xdr:cNvPr id="4098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12">
        <xdr:nvSpPr>
          <xdr:cNvPr id="4099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6325627-32EA-459B-B268-AFA568EFDFC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3200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312</xdr:row>
      <xdr:rowOff>76200</xdr:rowOff>
    </xdr:from>
    <xdr:to>
      <xdr:col>18</xdr:col>
      <xdr:colOff>1400175</xdr:colOff>
      <xdr:row>312</xdr:row>
      <xdr:rowOff>257175</xdr:rowOff>
    </xdr:to>
    <xdr:grpSp>
      <xdr:nvGrpSpPr>
        <xdr:cNvPr id="4103" name="Group 1"/>
        <xdr:cNvGrpSpPr>
          <a:grpSpLocks/>
        </xdr:cNvGrpSpPr>
      </xdr:nvGrpSpPr>
      <xdr:grpSpPr bwMode="auto">
        <a:xfrm>
          <a:off x="6591300" y="118900575"/>
          <a:ext cx="876300" cy="180975"/>
          <a:chOff x="594" y="27"/>
          <a:chExt cx="92" cy="19"/>
        </a:xfrm>
      </xdr:grpSpPr>
      <xdr:sp macro="" textlink="">
        <xdr:nvSpPr>
          <xdr:cNvPr id="4104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13">
        <xdr:nvSpPr>
          <xdr:cNvPr id="4105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7B74E9F-6CE4-4AA8-8829-CB5DF5C8F38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6225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313</xdr:row>
      <xdr:rowOff>47625</xdr:rowOff>
    </xdr:from>
    <xdr:to>
      <xdr:col>18</xdr:col>
      <xdr:colOff>1933575</xdr:colOff>
      <xdr:row>313</xdr:row>
      <xdr:rowOff>285750</xdr:rowOff>
    </xdr:to>
    <xdr:grpSp>
      <xdr:nvGrpSpPr>
        <xdr:cNvPr id="2074" name="Group 3094"/>
        <xdr:cNvGrpSpPr>
          <a:grpSpLocks/>
        </xdr:cNvGrpSpPr>
      </xdr:nvGrpSpPr>
      <xdr:grpSpPr bwMode="auto">
        <a:xfrm>
          <a:off x="6124575" y="119205375"/>
          <a:ext cx="1876425" cy="238125"/>
          <a:chOff x="626" y="613"/>
          <a:chExt cx="197" cy="25"/>
        </a:xfrm>
      </xdr:grpSpPr>
      <xdr:sp macro="" textlink="I314">
        <xdr:nvSpPr>
          <xdr:cNvPr id="2075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36CF97D-BB2D-4EA0-8E6B-1F980F50B0B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14">
        <xdr:nvSpPr>
          <xdr:cNvPr id="2076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F39A5C3-F4ED-4037-B21E-40440013CAB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14">
        <xdr:nvSpPr>
          <xdr:cNvPr id="2105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506C554-B426-4C1C-BD62-867456D6169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3900</a:t>
            </a:fld>
            <a:endParaRPr lang="en-US"/>
          </a:p>
        </xdr:txBody>
      </xdr:sp>
      <xdr:sp macro="" textlink="L314">
        <xdr:nvSpPr>
          <xdr:cNvPr id="2236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1D9445C-E149-4517-A8AE-B2864D9C753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14">
        <xdr:nvSpPr>
          <xdr:cNvPr id="2251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F557CFC-5E6B-4C18-9746-14D7FEB06D3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252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29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314</xdr:row>
      <xdr:rowOff>76200</xdr:rowOff>
    </xdr:from>
    <xdr:to>
      <xdr:col>18</xdr:col>
      <xdr:colOff>1400175</xdr:colOff>
      <xdr:row>314</xdr:row>
      <xdr:rowOff>257175</xdr:rowOff>
    </xdr:to>
    <xdr:grpSp>
      <xdr:nvGrpSpPr>
        <xdr:cNvPr id="2295" name="Group 1"/>
        <xdr:cNvGrpSpPr>
          <a:grpSpLocks/>
        </xdr:cNvGrpSpPr>
      </xdr:nvGrpSpPr>
      <xdr:grpSpPr bwMode="auto">
        <a:xfrm>
          <a:off x="6591300" y="119567325"/>
          <a:ext cx="876300" cy="180975"/>
          <a:chOff x="594" y="27"/>
          <a:chExt cx="92" cy="19"/>
        </a:xfrm>
      </xdr:grpSpPr>
      <xdr:sp macro="" textlink="">
        <xdr:nvSpPr>
          <xdr:cNvPr id="2296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15">
        <xdr:nvSpPr>
          <xdr:cNvPr id="2297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76A2E00-DDD7-49E2-945D-B3B182E234E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315</xdr:row>
      <xdr:rowOff>57150</xdr:rowOff>
    </xdr:from>
    <xdr:to>
      <xdr:col>18</xdr:col>
      <xdr:colOff>1905000</xdr:colOff>
      <xdr:row>315</xdr:row>
      <xdr:rowOff>647700</xdr:rowOff>
    </xdr:to>
    <xdr:grpSp>
      <xdr:nvGrpSpPr>
        <xdr:cNvPr id="2310" name="Group 2968"/>
        <xdr:cNvGrpSpPr>
          <a:grpSpLocks/>
        </xdr:cNvGrpSpPr>
      </xdr:nvGrpSpPr>
      <xdr:grpSpPr bwMode="auto">
        <a:xfrm>
          <a:off x="6124575" y="119881650"/>
          <a:ext cx="1847850" cy="276225"/>
          <a:chOff x="543" y="12509"/>
          <a:chExt cx="194" cy="62"/>
        </a:xfrm>
      </xdr:grpSpPr>
      <xdr:sp macro="" textlink="">
        <xdr:nvSpPr>
          <xdr:cNvPr id="2311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16">
        <xdr:nvSpPr>
          <xdr:cNvPr id="2312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CB953B37-FAB2-4BAE-AA8A-B71A41848A6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316">
        <xdr:nvSpPr>
          <xdr:cNvPr id="2324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39209EA-9598-473E-83F5-48749303FD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316">
        <xdr:nvSpPr>
          <xdr:cNvPr id="2325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24532F8-DF33-400D-92C5-FF238CF885A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1825</a:t>
            </a:fld>
            <a:endParaRPr lang="en-US"/>
          </a:p>
        </xdr:txBody>
      </xdr:sp>
      <xdr:sp macro="" textlink="L316">
        <xdr:nvSpPr>
          <xdr:cNvPr id="2326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76EC088-5C74-409F-BF97-2B257C1A560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316">
        <xdr:nvSpPr>
          <xdr:cNvPr id="2327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A5D138F-DA30-47F4-8284-002F6BCEC29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2328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29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54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316">
        <xdr:nvSpPr>
          <xdr:cNvPr id="2355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EF15B7D-967D-4A2A-A450-A2F7FDAEF3C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316</xdr:row>
      <xdr:rowOff>47625</xdr:rowOff>
    </xdr:from>
    <xdr:to>
      <xdr:col>18</xdr:col>
      <xdr:colOff>1933575</xdr:colOff>
      <xdr:row>316</xdr:row>
      <xdr:rowOff>285750</xdr:rowOff>
    </xdr:to>
    <xdr:grpSp>
      <xdr:nvGrpSpPr>
        <xdr:cNvPr id="2356" name="Group 3094"/>
        <xdr:cNvGrpSpPr>
          <a:grpSpLocks/>
        </xdr:cNvGrpSpPr>
      </xdr:nvGrpSpPr>
      <xdr:grpSpPr bwMode="auto">
        <a:xfrm>
          <a:off x="6124575" y="120205500"/>
          <a:ext cx="1876425" cy="238125"/>
          <a:chOff x="626" y="613"/>
          <a:chExt cx="197" cy="25"/>
        </a:xfrm>
      </xdr:grpSpPr>
      <xdr:sp macro="" textlink="I317">
        <xdr:nvSpPr>
          <xdr:cNvPr id="2357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D72611E-09F1-4855-8785-EE330E41C9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17">
        <xdr:nvSpPr>
          <xdr:cNvPr id="2430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22761FF-F35B-459D-B481-1397F11BB5F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17">
        <xdr:nvSpPr>
          <xdr:cNvPr id="2431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4364DA3-D5AB-4E5D-8A72-FAA7E978D98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3950</a:t>
            </a:fld>
            <a:endParaRPr lang="en-US"/>
          </a:p>
        </xdr:txBody>
      </xdr:sp>
      <xdr:sp macro="" textlink="L317">
        <xdr:nvSpPr>
          <xdr:cNvPr id="2432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0BF7EAA-4534-4332-ADF6-711BA4433DE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17">
        <xdr:nvSpPr>
          <xdr:cNvPr id="246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9B66162-C4CC-4135-A2B1-D11A442E6DC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46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46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317</xdr:row>
      <xdr:rowOff>47625</xdr:rowOff>
    </xdr:from>
    <xdr:to>
      <xdr:col>18</xdr:col>
      <xdr:colOff>1933575</xdr:colOff>
      <xdr:row>317</xdr:row>
      <xdr:rowOff>285750</xdr:rowOff>
    </xdr:to>
    <xdr:grpSp>
      <xdr:nvGrpSpPr>
        <xdr:cNvPr id="2481" name="Group 3094"/>
        <xdr:cNvGrpSpPr>
          <a:grpSpLocks/>
        </xdr:cNvGrpSpPr>
      </xdr:nvGrpSpPr>
      <xdr:grpSpPr bwMode="auto">
        <a:xfrm>
          <a:off x="6124575" y="120538875"/>
          <a:ext cx="1876425" cy="238125"/>
          <a:chOff x="626" y="613"/>
          <a:chExt cx="197" cy="25"/>
        </a:xfrm>
      </xdr:grpSpPr>
      <xdr:sp macro="" textlink="I318">
        <xdr:nvSpPr>
          <xdr:cNvPr id="2486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E156054-C802-48AD-A7A9-923FE4F0DC8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18">
        <xdr:nvSpPr>
          <xdr:cNvPr id="2487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A966838-53F0-4EBF-BD77-DD3979CE820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18">
        <xdr:nvSpPr>
          <xdr:cNvPr id="2488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F938AA6-9FDB-4538-85EC-0091A4B3255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5200</a:t>
            </a:fld>
            <a:endParaRPr lang="en-US"/>
          </a:p>
        </xdr:txBody>
      </xdr:sp>
      <xdr:sp macro="" textlink="L318">
        <xdr:nvSpPr>
          <xdr:cNvPr id="2489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71A33F9-9310-41CF-B39F-DAE090FBDB1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18">
        <xdr:nvSpPr>
          <xdr:cNvPr id="2490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DFDC638-BCCE-464B-9969-2E4B5FB5AE4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491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503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318</xdr:row>
      <xdr:rowOff>76200</xdr:rowOff>
    </xdr:from>
    <xdr:to>
      <xdr:col>18</xdr:col>
      <xdr:colOff>1400175</xdr:colOff>
      <xdr:row>318</xdr:row>
      <xdr:rowOff>257175</xdr:rowOff>
    </xdr:to>
    <xdr:grpSp>
      <xdr:nvGrpSpPr>
        <xdr:cNvPr id="2504" name="Group 1"/>
        <xdr:cNvGrpSpPr>
          <a:grpSpLocks/>
        </xdr:cNvGrpSpPr>
      </xdr:nvGrpSpPr>
      <xdr:grpSpPr bwMode="auto">
        <a:xfrm>
          <a:off x="6591300" y="120977025"/>
          <a:ext cx="876300" cy="180975"/>
          <a:chOff x="594" y="27"/>
          <a:chExt cx="92" cy="19"/>
        </a:xfrm>
      </xdr:grpSpPr>
      <xdr:sp macro="" textlink="">
        <xdr:nvSpPr>
          <xdr:cNvPr id="2505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19">
        <xdr:nvSpPr>
          <xdr:cNvPr id="2506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4439C4D-FFC2-4ACC-8313-BDB0E84D0EA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3825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319</xdr:row>
      <xdr:rowOff>47625</xdr:rowOff>
    </xdr:from>
    <xdr:to>
      <xdr:col>18</xdr:col>
      <xdr:colOff>1933575</xdr:colOff>
      <xdr:row>319</xdr:row>
      <xdr:rowOff>285750</xdr:rowOff>
    </xdr:to>
    <xdr:grpSp>
      <xdr:nvGrpSpPr>
        <xdr:cNvPr id="2507" name="Group 3094"/>
        <xdr:cNvGrpSpPr>
          <a:grpSpLocks/>
        </xdr:cNvGrpSpPr>
      </xdr:nvGrpSpPr>
      <xdr:grpSpPr bwMode="auto">
        <a:xfrm>
          <a:off x="6124575" y="121281825"/>
          <a:ext cx="1876425" cy="238125"/>
          <a:chOff x="626" y="613"/>
          <a:chExt cx="197" cy="25"/>
        </a:xfrm>
      </xdr:grpSpPr>
      <xdr:sp macro="" textlink="I320">
        <xdr:nvSpPr>
          <xdr:cNvPr id="2526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B37358C-3FF1-4646-90F3-3AB0B05348D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20">
        <xdr:nvSpPr>
          <xdr:cNvPr id="2527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F172759-1ACA-47CD-9567-272972121FF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20">
        <xdr:nvSpPr>
          <xdr:cNvPr id="2528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8AE66D5-DD0A-4E61-B6D4-FA96C8FE735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4950</a:t>
            </a:fld>
            <a:endParaRPr lang="en-US"/>
          </a:p>
        </xdr:txBody>
      </xdr:sp>
      <xdr:sp macro="" textlink="L320">
        <xdr:nvSpPr>
          <xdr:cNvPr id="2529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992C9C9-2C47-4386-915E-A5B1949B2C2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20">
        <xdr:nvSpPr>
          <xdr:cNvPr id="2530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231A77B-16B2-451F-A8DF-F87B0ABBB21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539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540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320</xdr:row>
      <xdr:rowOff>47625</xdr:rowOff>
    </xdr:from>
    <xdr:to>
      <xdr:col>18</xdr:col>
      <xdr:colOff>1219200</xdr:colOff>
      <xdr:row>320</xdr:row>
      <xdr:rowOff>276225</xdr:rowOff>
    </xdr:to>
    <xdr:grpSp>
      <xdr:nvGrpSpPr>
        <xdr:cNvPr id="2545" name="Group 4"/>
        <xdr:cNvGrpSpPr>
          <a:grpSpLocks/>
        </xdr:cNvGrpSpPr>
      </xdr:nvGrpSpPr>
      <xdr:grpSpPr bwMode="auto">
        <a:xfrm>
          <a:off x="6124575" y="121615200"/>
          <a:ext cx="1162050" cy="228600"/>
          <a:chOff x="545" y="97"/>
          <a:chExt cx="122" cy="24"/>
        </a:xfrm>
      </xdr:grpSpPr>
      <xdr:sp macro="" textlink="">
        <xdr:nvSpPr>
          <xdr:cNvPr id="2546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21">
        <xdr:nvSpPr>
          <xdr:cNvPr id="2550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CBA0A73-0432-402B-A5E6-B82D25EAA43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21">
        <xdr:nvSpPr>
          <xdr:cNvPr id="2551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70CAB5A-4CF5-44D8-930A-669C9C99C30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4625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321</xdr:row>
      <xdr:rowOff>57150</xdr:rowOff>
    </xdr:from>
    <xdr:to>
      <xdr:col>18</xdr:col>
      <xdr:colOff>1905000</xdr:colOff>
      <xdr:row>321</xdr:row>
      <xdr:rowOff>647700</xdr:rowOff>
    </xdr:to>
    <xdr:grpSp>
      <xdr:nvGrpSpPr>
        <xdr:cNvPr id="2552" name="Group 2968"/>
        <xdr:cNvGrpSpPr>
          <a:grpSpLocks/>
        </xdr:cNvGrpSpPr>
      </xdr:nvGrpSpPr>
      <xdr:grpSpPr bwMode="auto">
        <a:xfrm>
          <a:off x="6124575" y="121958100"/>
          <a:ext cx="1847850" cy="276225"/>
          <a:chOff x="543" y="12509"/>
          <a:chExt cx="194" cy="62"/>
        </a:xfrm>
      </xdr:grpSpPr>
      <xdr:sp macro="" textlink="">
        <xdr:nvSpPr>
          <xdr:cNvPr id="2553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22">
        <xdr:nvSpPr>
          <xdr:cNvPr id="2554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C9C1C10-41CD-4863-AFCE-7179C45ECEE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322">
        <xdr:nvSpPr>
          <xdr:cNvPr id="2584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BB74AFD-032D-4B49-8610-ADB8B477558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322">
        <xdr:nvSpPr>
          <xdr:cNvPr id="2585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F4CF2C5-0AE8-4B22-A138-6F95E061633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3525</a:t>
            </a:fld>
            <a:endParaRPr lang="en-US"/>
          </a:p>
        </xdr:txBody>
      </xdr:sp>
      <xdr:sp macro="" textlink="L322">
        <xdr:nvSpPr>
          <xdr:cNvPr id="2586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4C19D383-58BB-42BC-8D14-B8876185AF1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322">
        <xdr:nvSpPr>
          <xdr:cNvPr id="2587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0BC66E0-F558-4B11-A93B-2923BF16942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2588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635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636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322">
        <xdr:nvSpPr>
          <xdr:cNvPr id="2637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60B9BD6-C163-4705-AC3F-4C896451CCC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322</xdr:row>
      <xdr:rowOff>47625</xdr:rowOff>
    </xdr:from>
    <xdr:to>
      <xdr:col>18</xdr:col>
      <xdr:colOff>1219200</xdr:colOff>
      <xdr:row>322</xdr:row>
      <xdr:rowOff>276225</xdr:rowOff>
    </xdr:to>
    <xdr:grpSp>
      <xdr:nvGrpSpPr>
        <xdr:cNvPr id="2642" name="Group 4"/>
        <xdr:cNvGrpSpPr>
          <a:grpSpLocks/>
        </xdr:cNvGrpSpPr>
      </xdr:nvGrpSpPr>
      <xdr:grpSpPr bwMode="auto">
        <a:xfrm>
          <a:off x="6124575" y="122281950"/>
          <a:ext cx="1162050" cy="228600"/>
          <a:chOff x="545" y="97"/>
          <a:chExt cx="122" cy="24"/>
        </a:xfrm>
      </xdr:grpSpPr>
      <xdr:sp macro="" textlink="">
        <xdr:nvSpPr>
          <xdr:cNvPr id="2643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23">
        <xdr:nvSpPr>
          <xdr:cNvPr id="2644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C3FA36B-ADD1-4AE7-BF15-E2F4676CE38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23">
        <xdr:nvSpPr>
          <xdr:cNvPr id="2645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AAAA6A6-7FB2-491B-BE41-41524CE7D36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5825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323</xdr:row>
      <xdr:rowOff>47625</xdr:rowOff>
    </xdr:from>
    <xdr:to>
      <xdr:col>18</xdr:col>
      <xdr:colOff>1219200</xdr:colOff>
      <xdr:row>323</xdr:row>
      <xdr:rowOff>276225</xdr:rowOff>
    </xdr:to>
    <xdr:grpSp>
      <xdr:nvGrpSpPr>
        <xdr:cNvPr id="2646" name="Group 4"/>
        <xdr:cNvGrpSpPr>
          <a:grpSpLocks/>
        </xdr:cNvGrpSpPr>
      </xdr:nvGrpSpPr>
      <xdr:grpSpPr bwMode="auto">
        <a:xfrm>
          <a:off x="6124575" y="122615325"/>
          <a:ext cx="1162050" cy="228600"/>
          <a:chOff x="545" y="97"/>
          <a:chExt cx="122" cy="24"/>
        </a:xfrm>
      </xdr:grpSpPr>
      <xdr:sp macro="" textlink="">
        <xdr:nvSpPr>
          <xdr:cNvPr id="2647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24">
        <xdr:nvSpPr>
          <xdr:cNvPr id="2648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1A245C7-AF88-43D8-B7D9-30E96EE4333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24">
        <xdr:nvSpPr>
          <xdr:cNvPr id="2649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E4C01C3-C930-4B49-B3CD-4514EC2797F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10150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324</xdr:row>
      <xdr:rowOff>47625</xdr:rowOff>
    </xdr:from>
    <xdr:to>
      <xdr:col>18</xdr:col>
      <xdr:colOff>1933575</xdr:colOff>
      <xdr:row>324</xdr:row>
      <xdr:rowOff>285750</xdr:rowOff>
    </xdr:to>
    <xdr:grpSp>
      <xdr:nvGrpSpPr>
        <xdr:cNvPr id="2650" name="Group 3094"/>
        <xdr:cNvGrpSpPr>
          <a:grpSpLocks/>
        </xdr:cNvGrpSpPr>
      </xdr:nvGrpSpPr>
      <xdr:grpSpPr bwMode="auto">
        <a:xfrm>
          <a:off x="6124575" y="122948700"/>
          <a:ext cx="1876425" cy="238125"/>
          <a:chOff x="626" y="613"/>
          <a:chExt cx="197" cy="25"/>
        </a:xfrm>
      </xdr:grpSpPr>
      <xdr:sp macro="" textlink="I325">
        <xdr:nvSpPr>
          <xdr:cNvPr id="2651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53F28B9-0EED-4B3B-9020-D8CF81598E1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25">
        <xdr:nvSpPr>
          <xdr:cNvPr id="2652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4012E21-81DE-45E1-90C8-10C53D66982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25">
        <xdr:nvSpPr>
          <xdr:cNvPr id="2653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FDD196D-FDDB-4781-8518-9734CDF54AB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3825</a:t>
            </a:fld>
            <a:endParaRPr lang="en-US"/>
          </a:p>
        </xdr:txBody>
      </xdr:sp>
      <xdr:sp macro="" textlink="L325">
        <xdr:nvSpPr>
          <xdr:cNvPr id="2654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5910BBB-A1D9-4408-9FFE-F0CDE3398E8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25">
        <xdr:nvSpPr>
          <xdr:cNvPr id="2655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C1372CC-9D10-4928-96C2-AD1A8F713EF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656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657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325</xdr:row>
      <xdr:rowOff>76200</xdr:rowOff>
    </xdr:from>
    <xdr:to>
      <xdr:col>18</xdr:col>
      <xdr:colOff>1400175</xdr:colOff>
      <xdr:row>325</xdr:row>
      <xdr:rowOff>257175</xdr:rowOff>
    </xdr:to>
    <xdr:grpSp>
      <xdr:nvGrpSpPr>
        <xdr:cNvPr id="2658" name="Group 1"/>
        <xdr:cNvGrpSpPr>
          <a:grpSpLocks/>
        </xdr:cNvGrpSpPr>
      </xdr:nvGrpSpPr>
      <xdr:grpSpPr bwMode="auto">
        <a:xfrm>
          <a:off x="6591300" y="123310650"/>
          <a:ext cx="876300" cy="180975"/>
          <a:chOff x="594" y="27"/>
          <a:chExt cx="92" cy="19"/>
        </a:xfrm>
      </xdr:grpSpPr>
      <xdr:sp macro="" textlink="">
        <xdr:nvSpPr>
          <xdr:cNvPr id="2659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26">
        <xdr:nvSpPr>
          <xdr:cNvPr id="2667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022CAC8-503B-483D-81C6-B89E7A2423C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3500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326</xdr:row>
      <xdr:rowOff>76200</xdr:rowOff>
    </xdr:from>
    <xdr:to>
      <xdr:col>18</xdr:col>
      <xdr:colOff>1400175</xdr:colOff>
      <xdr:row>326</xdr:row>
      <xdr:rowOff>257175</xdr:rowOff>
    </xdr:to>
    <xdr:grpSp>
      <xdr:nvGrpSpPr>
        <xdr:cNvPr id="2671" name="Group 1"/>
        <xdr:cNvGrpSpPr>
          <a:grpSpLocks/>
        </xdr:cNvGrpSpPr>
      </xdr:nvGrpSpPr>
      <xdr:grpSpPr bwMode="auto">
        <a:xfrm>
          <a:off x="6591300" y="123644025"/>
          <a:ext cx="876300" cy="180975"/>
          <a:chOff x="594" y="27"/>
          <a:chExt cx="92" cy="19"/>
        </a:xfrm>
      </xdr:grpSpPr>
      <xdr:sp macro="" textlink="">
        <xdr:nvSpPr>
          <xdr:cNvPr id="2672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27">
        <xdr:nvSpPr>
          <xdr:cNvPr id="2673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DF29CFF-1203-496B-B36D-E99603E270D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10150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327</xdr:row>
      <xdr:rowOff>28575</xdr:rowOff>
    </xdr:from>
    <xdr:to>
      <xdr:col>18</xdr:col>
      <xdr:colOff>1724025</xdr:colOff>
      <xdr:row>327</xdr:row>
      <xdr:rowOff>295275</xdr:rowOff>
    </xdr:to>
    <xdr:grpSp>
      <xdr:nvGrpSpPr>
        <xdr:cNvPr id="2693" name="Group 3050"/>
        <xdr:cNvGrpSpPr>
          <a:grpSpLocks/>
        </xdr:cNvGrpSpPr>
      </xdr:nvGrpSpPr>
      <xdr:grpSpPr bwMode="auto">
        <a:xfrm>
          <a:off x="6124575" y="123929775"/>
          <a:ext cx="1666875" cy="266700"/>
          <a:chOff x="589" y="376"/>
          <a:chExt cx="175" cy="28"/>
        </a:xfrm>
      </xdr:grpSpPr>
      <xdr:sp macro="" textlink="I328">
        <xdr:nvSpPr>
          <xdr:cNvPr id="2694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2D17A6B-BF55-4BAA-9EAE-BFC4453301E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28">
        <xdr:nvSpPr>
          <xdr:cNvPr id="2695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0570C04-8206-4B9E-80BB-8F024BD61B5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28">
        <xdr:nvSpPr>
          <xdr:cNvPr id="2699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E6110B1-CC94-4647-B22A-0930A3B9121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700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723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329</xdr:row>
      <xdr:rowOff>47625</xdr:rowOff>
    </xdr:from>
    <xdr:to>
      <xdr:col>18</xdr:col>
      <xdr:colOff>1219200</xdr:colOff>
      <xdr:row>329</xdr:row>
      <xdr:rowOff>276225</xdr:rowOff>
    </xdr:to>
    <xdr:grpSp>
      <xdr:nvGrpSpPr>
        <xdr:cNvPr id="2541" name="Group 4"/>
        <xdr:cNvGrpSpPr>
          <a:grpSpLocks/>
        </xdr:cNvGrpSpPr>
      </xdr:nvGrpSpPr>
      <xdr:grpSpPr bwMode="auto">
        <a:xfrm>
          <a:off x="6124575" y="124615575"/>
          <a:ext cx="1162050" cy="228600"/>
          <a:chOff x="545" y="97"/>
          <a:chExt cx="122" cy="24"/>
        </a:xfrm>
      </xdr:grpSpPr>
      <xdr:sp macro="" textlink="">
        <xdr:nvSpPr>
          <xdr:cNvPr id="2542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30">
        <xdr:nvSpPr>
          <xdr:cNvPr id="2543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2539AB3-EEA0-4251-B282-9A54CD17131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30">
        <xdr:nvSpPr>
          <xdr:cNvPr id="2544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0DF2EED-B604-486C-896C-A025AA788FA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4625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328</xdr:row>
      <xdr:rowOff>57150</xdr:rowOff>
    </xdr:from>
    <xdr:to>
      <xdr:col>18</xdr:col>
      <xdr:colOff>1905000</xdr:colOff>
      <xdr:row>328</xdr:row>
      <xdr:rowOff>647700</xdr:rowOff>
    </xdr:to>
    <xdr:grpSp>
      <xdr:nvGrpSpPr>
        <xdr:cNvPr id="2785" name="Group 2968"/>
        <xdr:cNvGrpSpPr>
          <a:grpSpLocks/>
        </xdr:cNvGrpSpPr>
      </xdr:nvGrpSpPr>
      <xdr:grpSpPr bwMode="auto">
        <a:xfrm>
          <a:off x="6124575" y="124291725"/>
          <a:ext cx="1847850" cy="276225"/>
          <a:chOff x="543" y="12509"/>
          <a:chExt cx="194" cy="62"/>
        </a:xfrm>
      </xdr:grpSpPr>
      <xdr:sp macro="" textlink="">
        <xdr:nvSpPr>
          <xdr:cNvPr id="2809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29">
        <xdr:nvSpPr>
          <xdr:cNvPr id="2810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41AA5E4-8865-4282-B61A-31FF3002015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329">
        <xdr:nvSpPr>
          <xdr:cNvPr id="2811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7E9AFB1-D906-4D56-8EE5-25EA8818FDE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329">
        <xdr:nvSpPr>
          <xdr:cNvPr id="2812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C53AFE4-6834-4415-8FC1-2A0A9B62AB8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3525</a:t>
            </a:fld>
            <a:endParaRPr lang="en-US"/>
          </a:p>
        </xdr:txBody>
      </xdr:sp>
      <xdr:sp macro="" textlink="L329">
        <xdr:nvSpPr>
          <xdr:cNvPr id="2828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2EE1243-4B3F-4D8A-A830-BDDFCF6ECF2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329">
        <xdr:nvSpPr>
          <xdr:cNvPr id="2829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BEF65F0-36C9-4866-87F1-7B9A31B4542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2830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31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843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329">
        <xdr:nvSpPr>
          <xdr:cNvPr id="2844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15C5D25-2354-49E2-96E4-3491EBE495D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330</xdr:row>
      <xdr:rowOff>47625</xdr:rowOff>
    </xdr:from>
    <xdr:to>
      <xdr:col>18</xdr:col>
      <xdr:colOff>1933575</xdr:colOff>
      <xdr:row>330</xdr:row>
      <xdr:rowOff>285750</xdr:rowOff>
    </xdr:to>
    <xdr:grpSp>
      <xdr:nvGrpSpPr>
        <xdr:cNvPr id="2845" name="Group 3094"/>
        <xdr:cNvGrpSpPr>
          <a:grpSpLocks/>
        </xdr:cNvGrpSpPr>
      </xdr:nvGrpSpPr>
      <xdr:grpSpPr bwMode="auto">
        <a:xfrm>
          <a:off x="6124575" y="125310900"/>
          <a:ext cx="1876425" cy="238125"/>
          <a:chOff x="626" y="613"/>
          <a:chExt cx="197" cy="25"/>
        </a:xfrm>
      </xdr:grpSpPr>
      <xdr:sp macro="" textlink="I331">
        <xdr:nvSpPr>
          <xdr:cNvPr id="2846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68E4C77-BBA0-4846-A92E-ADF0A26F279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31">
        <xdr:nvSpPr>
          <xdr:cNvPr id="2847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CFB7F15-0919-4C20-A8FB-B5ED19E040C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31">
        <xdr:nvSpPr>
          <xdr:cNvPr id="2848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006719A-AB7A-49B9-9FB9-E8FD3812DB4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  <xdr:sp macro="" textlink="L331">
        <xdr:nvSpPr>
          <xdr:cNvPr id="2849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90EE912-4BC3-4D7A-8CE8-BE2A47373F1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31">
        <xdr:nvSpPr>
          <xdr:cNvPr id="2850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102F992-B5A3-47D9-92A9-1F74868E88A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851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852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331</xdr:row>
      <xdr:rowOff>76200</xdr:rowOff>
    </xdr:from>
    <xdr:to>
      <xdr:col>18</xdr:col>
      <xdr:colOff>1400175</xdr:colOff>
      <xdr:row>331</xdr:row>
      <xdr:rowOff>257175</xdr:rowOff>
    </xdr:to>
    <xdr:grpSp>
      <xdr:nvGrpSpPr>
        <xdr:cNvPr id="2856" name="Group 1"/>
        <xdr:cNvGrpSpPr>
          <a:grpSpLocks/>
        </xdr:cNvGrpSpPr>
      </xdr:nvGrpSpPr>
      <xdr:grpSpPr bwMode="auto">
        <a:xfrm>
          <a:off x="6591300" y="125672850"/>
          <a:ext cx="876300" cy="180975"/>
          <a:chOff x="594" y="27"/>
          <a:chExt cx="92" cy="19"/>
        </a:xfrm>
      </xdr:grpSpPr>
      <xdr:sp macro="" textlink="">
        <xdr:nvSpPr>
          <xdr:cNvPr id="2857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32">
        <xdr:nvSpPr>
          <xdr:cNvPr id="2858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6B6DF6A-904F-4A86-88B5-53E8B9B268E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7525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332</xdr:row>
      <xdr:rowOff>47625</xdr:rowOff>
    </xdr:from>
    <xdr:to>
      <xdr:col>18</xdr:col>
      <xdr:colOff>1933575</xdr:colOff>
      <xdr:row>332</xdr:row>
      <xdr:rowOff>285750</xdr:rowOff>
    </xdr:to>
    <xdr:grpSp>
      <xdr:nvGrpSpPr>
        <xdr:cNvPr id="2859" name="Group 3094"/>
        <xdr:cNvGrpSpPr>
          <a:grpSpLocks/>
        </xdr:cNvGrpSpPr>
      </xdr:nvGrpSpPr>
      <xdr:grpSpPr bwMode="auto">
        <a:xfrm>
          <a:off x="6124575" y="126339600"/>
          <a:ext cx="1876425" cy="238125"/>
          <a:chOff x="626" y="613"/>
          <a:chExt cx="197" cy="25"/>
        </a:xfrm>
      </xdr:grpSpPr>
      <xdr:sp macro="" textlink="I333">
        <xdr:nvSpPr>
          <xdr:cNvPr id="2860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0401F4E-83B9-43B8-B036-CCD42153ECD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33">
        <xdr:nvSpPr>
          <xdr:cNvPr id="2861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0E2FDEC-71F8-4E95-84A0-68635B6FD86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33">
        <xdr:nvSpPr>
          <xdr:cNvPr id="2862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12A1555-4FCB-40B6-82D1-FFA3F2FFB0E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3825</a:t>
            </a:fld>
            <a:endParaRPr lang="en-US"/>
          </a:p>
        </xdr:txBody>
      </xdr:sp>
      <xdr:sp macro="" textlink="L333">
        <xdr:nvSpPr>
          <xdr:cNvPr id="2863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7DCF8FC-7DF0-4426-AD9C-BBC56396E47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33">
        <xdr:nvSpPr>
          <xdr:cNvPr id="2864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B7C9C7E-098E-4FCF-94F6-87CFEC5E6C2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865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866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333</xdr:row>
      <xdr:rowOff>47625</xdr:rowOff>
    </xdr:from>
    <xdr:to>
      <xdr:col>18</xdr:col>
      <xdr:colOff>1219200</xdr:colOff>
      <xdr:row>333</xdr:row>
      <xdr:rowOff>276225</xdr:rowOff>
    </xdr:to>
    <xdr:grpSp>
      <xdr:nvGrpSpPr>
        <xdr:cNvPr id="2867" name="Group 4"/>
        <xdr:cNvGrpSpPr>
          <a:grpSpLocks/>
        </xdr:cNvGrpSpPr>
      </xdr:nvGrpSpPr>
      <xdr:grpSpPr bwMode="auto">
        <a:xfrm>
          <a:off x="6124575" y="126672975"/>
          <a:ext cx="1162050" cy="228600"/>
          <a:chOff x="545" y="97"/>
          <a:chExt cx="122" cy="24"/>
        </a:xfrm>
      </xdr:grpSpPr>
      <xdr:sp macro="" textlink="">
        <xdr:nvSpPr>
          <xdr:cNvPr id="2868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34">
        <xdr:nvSpPr>
          <xdr:cNvPr id="2899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1616813-9981-4176-B181-1B476B4260E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34">
        <xdr:nvSpPr>
          <xdr:cNvPr id="2900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2970C93-334E-4518-A097-8E5073304B5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5825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335</xdr:row>
      <xdr:rowOff>47625</xdr:rowOff>
    </xdr:from>
    <xdr:to>
      <xdr:col>18</xdr:col>
      <xdr:colOff>1933575</xdr:colOff>
      <xdr:row>335</xdr:row>
      <xdr:rowOff>285750</xdr:rowOff>
    </xdr:to>
    <xdr:grpSp>
      <xdr:nvGrpSpPr>
        <xdr:cNvPr id="2901" name="Group 3094"/>
        <xdr:cNvGrpSpPr>
          <a:grpSpLocks/>
        </xdr:cNvGrpSpPr>
      </xdr:nvGrpSpPr>
      <xdr:grpSpPr bwMode="auto">
        <a:xfrm>
          <a:off x="6124575" y="127339725"/>
          <a:ext cx="1876425" cy="238125"/>
          <a:chOff x="626" y="613"/>
          <a:chExt cx="197" cy="25"/>
        </a:xfrm>
      </xdr:grpSpPr>
      <xdr:sp macro="" textlink="I336">
        <xdr:nvSpPr>
          <xdr:cNvPr id="2913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898BC7F-0094-44C8-84A5-28E755BAF61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36">
        <xdr:nvSpPr>
          <xdr:cNvPr id="2914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6767D80-470A-46FB-8C82-5D3C192D95D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36">
        <xdr:nvSpPr>
          <xdr:cNvPr id="2915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A39F5BB-529C-44F5-903E-EA8ED44C424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5675</a:t>
            </a:fld>
            <a:endParaRPr lang="en-US"/>
          </a:p>
        </xdr:txBody>
      </xdr:sp>
      <xdr:sp macro="" textlink="L336">
        <xdr:nvSpPr>
          <xdr:cNvPr id="2929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A98BE30-2705-4D41-B940-6C041A33791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36">
        <xdr:nvSpPr>
          <xdr:cNvPr id="2930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3EF947D-9D11-45FF-BBEC-591BEDE23D7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931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935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336</xdr:row>
      <xdr:rowOff>47625</xdr:rowOff>
    </xdr:from>
    <xdr:to>
      <xdr:col>18</xdr:col>
      <xdr:colOff>1933575</xdr:colOff>
      <xdr:row>336</xdr:row>
      <xdr:rowOff>285750</xdr:rowOff>
    </xdr:to>
    <xdr:grpSp>
      <xdr:nvGrpSpPr>
        <xdr:cNvPr id="2936" name="Group 3094"/>
        <xdr:cNvGrpSpPr>
          <a:grpSpLocks/>
        </xdr:cNvGrpSpPr>
      </xdr:nvGrpSpPr>
      <xdr:grpSpPr bwMode="auto">
        <a:xfrm>
          <a:off x="6124575" y="127673100"/>
          <a:ext cx="1876425" cy="238125"/>
          <a:chOff x="626" y="613"/>
          <a:chExt cx="197" cy="25"/>
        </a:xfrm>
      </xdr:grpSpPr>
      <xdr:sp macro="" textlink="I337">
        <xdr:nvSpPr>
          <xdr:cNvPr id="2937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49395DC-939C-410A-9FEE-DE1DA6703A9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37">
        <xdr:nvSpPr>
          <xdr:cNvPr id="2941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CF25A1D-1A9B-4631-A6C5-28E34992F0C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37">
        <xdr:nvSpPr>
          <xdr:cNvPr id="2942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4717FA4-E54A-4B7F-BA02-F96E495A0E1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10125</a:t>
            </a:fld>
            <a:endParaRPr lang="en-US"/>
          </a:p>
        </xdr:txBody>
      </xdr:sp>
      <xdr:sp macro="" textlink="L337">
        <xdr:nvSpPr>
          <xdr:cNvPr id="2943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02CFB32-B101-45CD-AD62-D1004E684C3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37">
        <xdr:nvSpPr>
          <xdr:cNvPr id="2944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4BED2F2-8C5B-4127-A75B-0A6095C0C22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945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946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334</xdr:row>
      <xdr:rowOff>28575</xdr:rowOff>
    </xdr:from>
    <xdr:to>
      <xdr:col>18</xdr:col>
      <xdr:colOff>1724025</xdr:colOff>
      <xdr:row>334</xdr:row>
      <xdr:rowOff>295275</xdr:rowOff>
    </xdr:to>
    <xdr:grpSp>
      <xdr:nvGrpSpPr>
        <xdr:cNvPr id="2963" name="Group 3050"/>
        <xdr:cNvGrpSpPr>
          <a:grpSpLocks/>
        </xdr:cNvGrpSpPr>
      </xdr:nvGrpSpPr>
      <xdr:grpSpPr bwMode="auto">
        <a:xfrm>
          <a:off x="6124575" y="126987300"/>
          <a:ext cx="1666875" cy="266700"/>
          <a:chOff x="589" y="376"/>
          <a:chExt cx="175" cy="28"/>
        </a:xfrm>
      </xdr:grpSpPr>
      <xdr:sp macro="" textlink="I335">
        <xdr:nvSpPr>
          <xdr:cNvPr id="2964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D887238-2E35-4306-9B30-25383054F57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35">
        <xdr:nvSpPr>
          <xdr:cNvPr id="2973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8E89ED0-31B9-4FD1-9B5E-D1D7062985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35">
        <xdr:nvSpPr>
          <xdr:cNvPr id="2974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A594FD9-AC9E-4453-A8C4-71133BF32F1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2975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982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337</xdr:row>
      <xdr:rowOff>47625</xdr:rowOff>
    </xdr:from>
    <xdr:to>
      <xdr:col>18</xdr:col>
      <xdr:colOff>1219200</xdr:colOff>
      <xdr:row>337</xdr:row>
      <xdr:rowOff>276225</xdr:rowOff>
    </xdr:to>
    <xdr:grpSp>
      <xdr:nvGrpSpPr>
        <xdr:cNvPr id="2995" name="Group 4"/>
        <xdr:cNvGrpSpPr>
          <a:grpSpLocks/>
        </xdr:cNvGrpSpPr>
      </xdr:nvGrpSpPr>
      <xdr:grpSpPr bwMode="auto">
        <a:xfrm>
          <a:off x="6124575" y="128006475"/>
          <a:ext cx="1162050" cy="228600"/>
          <a:chOff x="545" y="97"/>
          <a:chExt cx="122" cy="24"/>
        </a:xfrm>
      </xdr:grpSpPr>
      <xdr:sp macro="" textlink="">
        <xdr:nvSpPr>
          <xdr:cNvPr id="2996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38">
        <xdr:nvSpPr>
          <xdr:cNvPr id="2997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D7CDC2F-49BD-4FC8-80F9-262606FD043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38">
        <xdr:nvSpPr>
          <xdr:cNvPr id="2998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A8CCB35-86C1-4AAD-A2D1-38A16D72D88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7600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338</xdr:row>
      <xdr:rowOff>47625</xdr:rowOff>
    </xdr:from>
    <xdr:to>
      <xdr:col>18</xdr:col>
      <xdr:colOff>1219200</xdr:colOff>
      <xdr:row>338</xdr:row>
      <xdr:rowOff>276225</xdr:rowOff>
    </xdr:to>
    <xdr:grpSp>
      <xdr:nvGrpSpPr>
        <xdr:cNvPr id="3003" name="Group 4"/>
        <xdr:cNvGrpSpPr>
          <a:grpSpLocks/>
        </xdr:cNvGrpSpPr>
      </xdr:nvGrpSpPr>
      <xdr:grpSpPr bwMode="auto">
        <a:xfrm>
          <a:off x="6124575" y="128339850"/>
          <a:ext cx="1162050" cy="228600"/>
          <a:chOff x="545" y="97"/>
          <a:chExt cx="122" cy="24"/>
        </a:xfrm>
      </xdr:grpSpPr>
      <xdr:sp macro="" textlink="">
        <xdr:nvSpPr>
          <xdr:cNvPr id="3004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39">
        <xdr:nvSpPr>
          <xdr:cNvPr id="3005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04DB82E-4EA2-4F82-9EC6-14FBC3B745A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39">
        <xdr:nvSpPr>
          <xdr:cNvPr id="3006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461EB82-FC03-417F-97E0-47B013753CA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339</xdr:row>
      <xdr:rowOff>28575</xdr:rowOff>
    </xdr:from>
    <xdr:to>
      <xdr:col>18</xdr:col>
      <xdr:colOff>1724025</xdr:colOff>
      <xdr:row>339</xdr:row>
      <xdr:rowOff>295275</xdr:rowOff>
    </xdr:to>
    <xdr:grpSp>
      <xdr:nvGrpSpPr>
        <xdr:cNvPr id="3007" name="Group 3050"/>
        <xdr:cNvGrpSpPr>
          <a:grpSpLocks/>
        </xdr:cNvGrpSpPr>
      </xdr:nvGrpSpPr>
      <xdr:grpSpPr bwMode="auto">
        <a:xfrm>
          <a:off x="6124575" y="128654175"/>
          <a:ext cx="1666875" cy="266700"/>
          <a:chOff x="589" y="376"/>
          <a:chExt cx="175" cy="28"/>
        </a:xfrm>
      </xdr:grpSpPr>
      <xdr:sp macro="" textlink="I335">
        <xdr:nvSpPr>
          <xdr:cNvPr id="3008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D887238-2E35-4306-9B30-25383054F57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35">
        <xdr:nvSpPr>
          <xdr:cNvPr id="3009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8E89ED0-31B9-4FD1-9B5E-D1D7062985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35">
        <xdr:nvSpPr>
          <xdr:cNvPr id="3010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A594FD9-AC9E-4453-A8C4-71133BF32F1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3011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012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340</xdr:row>
      <xdr:rowOff>47625</xdr:rowOff>
    </xdr:from>
    <xdr:to>
      <xdr:col>18</xdr:col>
      <xdr:colOff>1933575</xdr:colOff>
      <xdr:row>340</xdr:row>
      <xdr:rowOff>285750</xdr:rowOff>
    </xdr:to>
    <xdr:grpSp>
      <xdr:nvGrpSpPr>
        <xdr:cNvPr id="3013" name="Group 3094"/>
        <xdr:cNvGrpSpPr>
          <a:grpSpLocks/>
        </xdr:cNvGrpSpPr>
      </xdr:nvGrpSpPr>
      <xdr:grpSpPr bwMode="auto">
        <a:xfrm>
          <a:off x="6124575" y="129368550"/>
          <a:ext cx="1876425" cy="238125"/>
          <a:chOff x="626" y="613"/>
          <a:chExt cx="197" cy="25"/>
        </a:xfrm>
      </xdr:grpSpPr>
      <xdr:sp macro="" textlink="I336">
        <xdr:nvSpPr>
          <xdr:cNvPr id="3014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898BC7F-0094-44C8-84A5-28E755BAF61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36">
        <xdr:nvSpPr>
          <xdr:cNvPr id="3015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6767D80-470A-46FB-8C82-5D3C192D95D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36">
        <xdr:nvSpPr>
          <xdr:cNvPr id="3016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A39F5BB-529C-44F5-903E-EA8ED44C424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5675</a:t>
            </a:fld>
            <a:endParaRPr lang="en-US"/>
          </a:p>
        </xdr:txBody>
      </xdr:sp>
      <xdr:sp macro="" textlink="L336">
        <xdr:nvSpPr>
          <xdr:cNvPr id="3017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A98BE30-2705-4D41-B940-6C041A33791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36">
        <xdr:nvSpPr>
          <xdr:cNvPr id="3018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3EF947D-9D11-45FF-BBEC-591BEDE23D7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019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020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341</xdr:row>
      <xdr:rowOff>47625</xdr:rowOff>
    </xdr:from>
    <xdr:to>
      <xdr:col>18</xdr:col>
      <xdr:colOff>1933575</xdr:colOff>
      <xdr:row>341</xdr:row>
      <xdr:rowOff>285750</xdr:rowOff>
    </xdr:to>
    <xdr:grpSp>
      <xdr:nvGrpSpPr>
        <xdr:cNvPr id="3021" name="Group 3094"/>
        <xdr:cNvGrpSpPr>
          <a:grpSpLocks/>
        </xdr:cNvGrpSpPr>
      </xdr:nvGrpSpPr>
      <xdr:grpSpPr bwMode="auto">
        <a:xfrm>
          <a:off x="6124575" y="129701925"/>
          <a:ext cx="1876425" cy="238125"/>
          <a:chOff x="626" y="613"/>
          <a:chExt cx="197" cy="25"/>
        </a:xfrm>
      </xdr:grpSpPr>
      <xdr:sp macro="" textlink="I337">
        <xdr:nvSpPr>
          <xdr:cNvPr id="3022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49395DC-939C-410A-9FEE-DE1DA6703A9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37">
        <xdr:nvSpPr>
          <xdr:cNvPr id="3023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CF25A1D-1A9B-4631-A6C5-28E34992F0C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37">
        <xdr:nvSpPr>
          <xdr:cNvPr id="3024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4717FA4-E54A-4B7F-BA02-F96E495A0E1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10125</a:t>
            </a:fld>
            <a:endParaRPr lang="en-US"/>
          </a:p>
        </xdr:txBody>
      </xdr:sp>
      <xdr:sp macro="" textlink="L337">
        <xdr:nvSpPr>
          <xdr:cNvPr id="3025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02CFB32-B101-45CD-AD62-D1004E684C3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37">
        <xdr:nvSpPr>
          <xdr:cNvPr id="3026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4BED2F2-8C5B-4127-A75B-0A6095C0C22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027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028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342</xdr:row>
      <xdr:rowOff>47625</xdr:rowOff>
    </xdr:from>
    <xdr:to>
      <xdr:col>18</xdr:col>
      <xdr:colOff>1219200</xdr:colOff>
      <xdr:row>342</xdr:row>
      <xdr:rowOff>276225</xdr:rowOff>
    </xdr:to>
    <xdr:grpSp>
      <xdr:nvGrpSpPr>
        <xdr:cNvPr id="3029" name="Group 4"/>
        <xdr:cNvGrpSpPr>
          <a:grpSpLocks/>
        </xdr:cNvGrpSpPr>
      </xdr:nvGrpSpPr>
      <xdr:grpSpPr bwMode="auto">
        <a:xfrm>
          <a:off x="6124575" y="130035300"/>
          <a:ext cx="1162050" cy="228600"/>
          <a:chOff x="545" y="97"/>
          <a:chExt cx="122" cy="24"/>
        </a:xfrm>
      </xdr:grpSpPr>
      <xdr:sp macro="" textlink="">
        <xdr:nvSpPr>
          <xdr:cNvPr id="3030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38">
        <xdr:nvSpPr>
          <xdr:cNvPr id="3031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D7CDC2F-49BD-4FC8-80F9-262606FD043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38">
        <xdr:nvSpPr>
          <xdr:cNvPr id="3032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A8CCB35-86C1-4AAD-A2D1-38A16D72D88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7600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343</xdr:row>
      <xdr:rowOff>47625</xdr:rowOff>
    </xdr:from>
    <xdr:to>
      <xdr:col>18</xdr:col>
      <xdr:colOff>1219200</xdr:colOff>
      <xdr:row>343</xdr:row>
      <xdr:rowOff>276225</xdr:rowOff>
    </xdr:to>
    <xdr:grpSp>
      <xdr:nvGrpSpPr>
        <xdr:cNvPr id="3033" name="Group 4"/>
        <xdr:cNvGrpSpPr>
          <a:grpSpLocks/>
        </xdr:cNvGrpSpPr>
      </xdr:nvGrpSpPr>
      <xdr:grpSpPr bwMode="auto">
        <a:xfrm>
          <a:off x="6124575" y="130368675"/>
          <a:ext cx="1162050" cy="228600"/>
          <a:chOff x="545" y="97"/>
          <a:chExt cx="122" cy="24"/>
        </a:xfrm>
      </xdr:grpSpPr>
      <xdr:sp macro="" textlink="">
        <xdr:nvSpPr>
          <xdr:cNvPr id="3034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39">
        <xdr:nvSpPr>
          <xdr:cNvPr id="3035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04DB82E-4EA2-4F82-9EC6-14FBC3B745A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39">
        <xdr:nvSpPr>
          <xdr:cNvPr id="3036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461EB82-FC03-417F-97E0-47B013753CA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12050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344</xdr:row>
      <xdr:rowOff>28575</xdr:rowOff>
    </xdr:from>
    <xdr:to>
      <xdr:col>18</xdr:col>
      <xdr:colOff>1724025</xdr:colOff>
      <xdr:row>344</xdr:row>
      <xdr:rowOff>295275</xdr:rowOff>
    </xdr:to>
    <xdr:grpSp>
      <xdr:nvGrpSpPr>
        <xdr:cNvPr id="3037" name="Group 3050"/>
        <xdr:cNvGrpSpPr>
          <a:grpSpLocks/>
        </xdr:cNvGrpSpPr>
      </xdr:nvGrpSpPr>
      <xdr:grpSpPr bwMode="auto">
        <a:xfrm>
          <a:off x="6124575" y="130683000"/>
          <a:ext cx="1666875" cy="266700"/>
          <a:chOff x="589" y="376"/>
          <a:chExt cx="175" cy="28"/>
        </a:xfrm>
      </xdr:grpSpPr>
      <xdr:sp macro="" textlink="I335">
        <xdr:nvSpPr>
          <xdr:cNvPr id="3038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D887238-2E35-4306-9B30-25383054F57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35">
        <xdr:nvSpPr>
          <xdr:cNvPr id="3039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8E89ED0-31B9-4FD1-9B5E-D1D7062985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35">
        <xdr:nvSpPr>
          <xdr:cNvPr id="3040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A594FD9-AC9E-4453-A8C4-71133BF32F1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3041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042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301</xdr:row>
      <xdr:rowOff>47625</xdr:rowOff>
    </xdr:from>
    <xdr:to>
      <xdr:col>18</xdr:col>
      <xdr:colOff>1219200</xdr:colOff>
      <xdr:row>301</xdr:row>
      <xdr:rowOff>276225</xdr:rowOff>
    </xdr:to>
    <xdr:grpSp>
      <xdr:nvGrpSpPr>
        <xdr:cNvPr id="2641" name="Group 2640"/>
        <xdr:cNvGrpSpPr>
          <a:grpSpLocks/>
        </xdr:cNvGrpSpPr>
      </xdr:nvGrpSpPr>
      <xdr:grpSpPr bwMode="auto">
        <a:xfrm>
          <a:off x="6124575" y="114480975"/>
          <a:ext cx="1162050" cy="228600"/>
          <a:chOff x="545" y="97"/>
          <a:chExt cx="122" cy="24"/>
        </a:xfrm>
      </xdr:grpSpPr>
      <xdr:sp macro="" textlink="">
        <xdr:nvSpPr>
          <xdr:cNvPr id="2668" name="Freeform 2667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02">
        <xdr:nvSpPr>
          <xdr:cNvPr id="2669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0004068-42B0-4C19-8A2A-EB7DB90A75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02">
        <xdr:nvSpPr>
          <xdr:cNvPr id="2670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B6C9406-1009-4EED-8ACD-25F6519D6C8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4225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345</xdr:row>
      <xdr:rowOff>47625</xdr:rowOff>
    </xdr:from>
    <xdr:to>
      <xdr:col>18</xdr:col>
      <xdr:colOff>1219200</xdr:colOff>
      <xdr:row>345</xdr:row>
      <xdr:rowOff>276225</xdr:rowOff>
    </xdr:to>
    <xdr:grpSp>
      <xdr:nvGrpSpPr>
        <xdr:cNvPr id="2724" name="Group 4"/>
        <xdr:cNvGrpSpPr>
          <a:grpSpLocks/>
        </xdr:cNvGrpSpPr>
      </xdr:nvGrpSpPr>
      <xdr:grpSpPr bwMode="auto">
        <a:xfrm>
          <a:off x="6124575" y="131035425"/>
          <a:ext cx="1162050" cy="228600"/>
          <a:chOff x="545" y="97"/>
          <a:chExt cx="122" cy="24"/>
        </a:xfrm>
      </xdr:grpSpPr>
      <xdr:sp macro="" textlink="">
        <xdr:nvSpPr>
          <xdr:cNvPr id="2725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46">
        <xdr:nvSpPr>
          <xdr:cNvPr id="2726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554BD75-A5E1-4541-BB83-90DFAD4DC56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46">
        <xdr:nvSpPr>
          <xdr:cNvPr id="2783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26B358D-D0AB-4EBA-BB93-67AC9760CB5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4038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346</xdr:row>
      <xdr:rowOff>57150</xdr:rowOff>
    </xdr:from>
    <xdr:to>
      <xdr:col>18</xdr:col>
      <xdr:colOff>1905000</xdr:colOff>
      <xdr:row>346</xdr:row>
      <xdr:rowOff>647700</xdr:rowOff>
    </xdr:to>
    <xdr:grpSp>
      <xdr:nvGrpSpPr>
        <xdr:cNvPr id="2947" name="Group 2968"/>
        <xdr:cNvGrpSpPr>
          <a:grpSpLocks/>
        </xdr:cNvGrpSpPr>
      </xdr:nvGrpSpPr>
      <xdr:grpSpPr bwMode="auto">
        <a:xfrm>
          <a:off x="6124575" y="131378325"/>
          <a:ext cx="1847850" cy="276225"/>
          <a:chOff x="543" y="12509"/>
          <a:chExt cx="194" cy="62"/>
        </a:xfrm>
      </xdr:grpSpPr>
      <xdr:sp macro="" textlink="">
        <xdr:nvSpPr>
          <xdr:cNvPr id="2948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47">
        <xdr:nvSpPr>
          <xdr:cNvPr id="2957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CFB2F74E-A427-41B8-BAC8-479086387D0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347">
        <xdr:nvSpPr>
          <xdr:cNvPr id="2958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637AAAC-BC8F-41AF-B12B-2DA3E46FDC7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347">
        <xdr:nvSpPr>
          <xdr:cNvPr id="2959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79F4E2C-9CA2-4B67-ABFA-25F46C4E3AD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1400</a:t>
            </a:fld>
            <a:endParaRPr lang="en-US"/>
          </a:p>
        </xdr:txBody>
      </xdr:sp>
      <xdr:sp macro="" textlink="L347">
        <xdr:nvSpPr>
          <xdr:cNvPr id="2960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A5ACA1E-9DEE-401F-A62D-509CAA3ED31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347">
        <xdr:nvSpPr>
          <xdr:cNvPr id="2961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6C66EBF-1DA3-4D39-A97B-35CBB1787C5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2962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83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984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347">
        <xdr:nvSpPr>
          <xdr:cNvPr id="2993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F8EF148-982B-4197-BC1F-A0FAB2A07A7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347</xdr:row>
      <xdr:rowOff>76200</xdr:rowOff>
    </xdr:from>
    <xdr:to>
      <xdr:col>18</xdr:col>
      <xdr:colOff>1400175</xdr:colOff>
      <xdr:row>347</xdr:row>
      <xdr:rowOff>257175</xdr:rowOff>
    </xdr:to>
    <xdr:grpSp>
      <xdr:nvGrpSpPr>
        <xdr:cNvPr id="3001" name="Group 1"/>
        <xdr:cNvGrpSpPr>
          <a:grpSpLocks/>
        </xdr:cNvGrpSpPr>
      </xdr:nvGrpSpPr>
      <xdr:grpSpPr bwMode="auto">
        <a:xfrm>
          <a:off x="6591300" y="131730750"/>
          <a:ext cx="876300" cy="180975"/>
          <a:chOff x="594" y="27"/>
          <a:chExt cx="92" cy="19"/>
        </a:xfrm>
      </xdr:grpSpPr>
      <xdr:sp macro="" textlink="">
        <xdr:nvSpPr>
          <xdr:cNvPr id="3002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48">
        <xdr:nvSpPr>
          <xdr:cNvPr id="3043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B08F388-729E-476A-B191-3E251FB2642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348</xdr:row>
      <xdr:rowOff>57150</xdr:rowOff>
    </xdr:from>
    <xdr:to>
      <xdr:col>18</xdr:col>
      <xdr:colOff>1905000</xdr:colOff>
      <xdr:row>348</xdr:row>
      <xdr:rowOff>647700</xdr:rowOff>
    </xdr:to>
    <xdr:grpSp>
      <xdr:nvGrpSpPr>
        <xdr:cNvPr id="3044" name="Group 2968"/>
        <xdr:cNvGrpSpPr>
          <a:grpSpLocks/>
        </xdr:cNvGrpSpPr>
      </xdr:nvGrpSpPr>
      <xdr:grpSpPr bwMode="auto">
        <a:xfrm>
          <a:off x="6124575" y="132045075"/>
          <a:ext cx="1847850" cy="276225"/>
          <a:chOff x="543" y="12509"/>
          <a:chExt cx="194" cy="62"/>
        </a:xfrm>
      </xdr:grpSpPr>
      <xdr:sp macro="" textlink="">
        <xdr:nvSpPr>
          <xdr:cNvPr id="3045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49">
        <xdr:nvSpPr>
          <xdr:cNvPr id="3046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62097E2-CF97-4BB7-9033-73EF7598178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349">
        <xdr:nvSpPr>
          <xdr:cNvPr id="3047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46791A1-F1C0-4ECB-894D-E0986E2BA4F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349">
        <xdr:nvSpPr>
          <xdr:cNvPr id="3048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48726B9-4FAA-439D-A330-F94A495388D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4575</a:t>
            </a:fld>
            <a:endParaRPr lang="en-US"/>
          </a:p>
        </xdr:txBody>
      </xdr:sp>
      <xdr:sp macro="" textlink="L349">
        <xdr:nvSpPr>
          <xdr:cNvPr id="3049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A9F9CDD-F435-4EE4-8790-8F55066C327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349">
        <xdr:nvSpPr>
          <xdr:cNvPr id="3050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E6476A5-79BC-4C51-8364-20673A05959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3051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052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053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349">
        <xdr:nvSpPr>
          <xdr:cNvPr id="3054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88CBCE0-FA8F-4271-89B0-A1EE781A2C0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349</xdr:row>
      <xdr:rowOff>47625</xdr:rowOff>
    </xdr:from>
    <xdr:to>
      <xdr:col>18</xdr:col>
      <xdr:colOff>1219200</xdr:colOff>
      <xdr:row>349</xdr:row>
      <xdr:rowOff>276225</xdr:rowOff>
    </xdr:to>
    <xdr:grpSp>
      <xdr:nvGrpSpPr>
        <xdr:cNvPr id="3055" name="Group 4"/>
        <xdr:cNvGrpSpPr>
          <a:grpSpLocks/>
        </xdr:cNvGrpSpPr>
      </xdr:nvGrpSpPr>
      <xdr:grpSpPr bwMode="auto">
        <a:xfrm>
          <a:off x="6124575" y="132368925"/>
          <a:ext cx="1162050" cy="228600"/>
          <a:chOff x="545" y="97"/>
          <a:chExt cx="122" cy="24"/>
        </a:xfrm>
      </xdr:grpSpPr>
      <xdr:sp macro="" textlink="">
        <xdr:nvSpPr>
          <xdr:cNvPr id="3056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50">
        <xdr:nvSpPr>
          <xdr:cNvPr id="3057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9FEF00C-7425-4CD3-9A83-E2CDD3F1DB4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50">
        <xdr:nvSpPr>
          <xdr:cNvPr id="3058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AB754F1-33C1-4CEF-81D6-B820FDBF484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3312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350</xdr:row>
      <xdr:rowOff>47625</xdr:rowOff>
    </xdr:from>
    <xdr:to>
      <xdr:col>18</xdr:col>
      <xdr:colOff>1933575</xdr:colOff>
      <xdr:row>350</xdr:row>
      <xdr:rowOff>285750</xdr:rowOff>
    </xdr:to>
    <xdr:grpSp>
      <xdr:nvGrpSpPr>
        <xdr:cNvPr id="3059" name="Group 3094"/>
        <xdr:cNvGrpSpPr>
          <a:grpSpLocks/>
        </xdr:cNvGrpSpPr>
      </xdr:nvGrpSpPr>
      <xdr:grpSpPr bwMode="auto">
        <a:xfrm>
          <a:off x="6124575" y="132702300"/>
          <a:ext cx="1876425" cy="238125"/>
          <a:chOff x="626" y="613"/>
          <a:chExt cx="197" cy="25"/>
        </a:xfrm>
      </xdr:grpSpPr>
      <xdr:sp macro="" textlink="I351">
        <xdr:nvSpPr>
          <xdr:cNvPr id="3060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CBFB644-46E3-47A8-87E7-DC643C8DEA8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51">
        <xdr:nvSpPr>
          <xdr:cNvPr id="3061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03CB604-EDA0-4A31-BB32-E0B476AB28D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51">
        <xdr:nvSpPr>
          <xdr:cNvPr id="3062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13D0463-86C2-4A7F-8174-DF23C8A42B0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1538</a:t>
            </a:fld>
            <a:endParaRPr lang="en-US"/>
          </a:p>
        </xdr:txBody>
      </xdr:sp>
      <xdr:sp macro="" textlink="L351">
        <xdr:nvSpPr>
          <xdr:cNvPr id="3063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5E5A30D-E0E4-47C4-BC53-0296DE149FD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51">
        <xdr:nvSpPr>
          <xdr:cNvPr id="3064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66A02F7-9EC1-4295-8480-8E2A07FD793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07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07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351</xdr:row>
      <xdr:rowOff>76200</xdr:rowOff>
    </xdr:from>
    <xdr:to>
      <xdr:col>18</xdr:col>
      <xdr:colOff>1400175</xdr:colOff>
      <xdr:row>351</xdr:row>
      <xdr:rowOff>257175</xdr:rowOff>
    </xdr:to>
    <xdr:grpSp>
      <xdr:nvGrpSpPr>
        <xdr:cNvPr id="3075" name="Group 1"/>
        <xdr:cNvGrpSpPr>
          <a:grpSpLocks/>
        </xdr:cNvGrpSpPr>
      </xdr:nvGrpSpPr>
      <xdr:grpSpPr bwMode="auto">
        <a:xfrm>
          <a:off x="6591300" y="133064250"/>
          <a:ext cx="876300" cy="180975"/>
          <a:chOff x="594" y="27"/>
          <a:chExt cx="92" cy="19"/>
        </a:xfrm>
      </xdr:grpSpPr>
      <xdr:sp macro="" textlink="">
        <xdr:nvSpPr>
          <xdr:cNvPr id="3076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52">
        <xdr:nvSpPr>
          <xdr:cNvPr id="3081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62BA19C-C119-4D9A-A273-9C860EBC1D6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5200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352</xdr:row>
      <xdr:rowOff>47625</xdr:rowOff>
    </xdr:from>
    <xdr:to>
      <xdr:col>18</xdr:col>
      <xdr:colOff>1933575</xdr:colOff>
      <xdr:row>352</xdr:row>
      <xdr:rowOff>285750</xdr:rowOff>
    </xdr:to>
    <xdr:grpSp>
      <xdr:nvGrpSpPr>
        <xdr:cNvPr id="3082" name="Group 3094"/>
        <xdr:cNvGrpSpPr>
          <a:grpSpLocks/>
        </xdr:cNvGrpSpPr>
      </xdr:nvGrpSpPr>
      <xdr:grpSpPr bwMode="auto">
        <a:xfrm>
          <a:off x="6124575" y="133731000"/>
          <a:ext cx="1876425" cy="238125"/>
          <a:chOff x="626" y="613"/>
          <a:chExt cx="197" cy="25"/>
        </a:xfrm>
      </xdr:grpSpPr>
      <xdr:sp macro="" textlink="I353">
        <xdr:nvSpPr>
          <xdr:cNvPr id="3083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74C179C-ABC6-472C-8BBF-7B3A985B9F7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53">
        <xdr:nvSpPr>
          <xdr:cNvPr id="3084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1614855-1B10-4D54-A1CE-79EF7C60EB3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53">
        <xdr:nvSpPr>
          <xdr:cNvPr id="3085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4386DBD-E9D7-46E6-9AF6-122BEA88F7D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8887</a:t>
            </a:fld>
            <a:endParaRPr lang="en-US"/>
          </a:p>
        </xdr:txBody>
      </xdr:sp>
      <xdr:sp macro="" textlink="L353">
        <xdr:nvSpPr>
          <xdr:cNvPr id="3086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BF4F09F-02D2-41F1-819B-4C8D6642A2D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53">
        <xdr:nvSpPr>
          <xdr:cNvPr id="3087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9C8E2C6-E1C7-4578-AC17-DA14108B02D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088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089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354</xdr:row>
      <xdr:rowOff>47625</xdr:rowOff>
    </xdr:from>
    <xdr:to>
      <xdr:col>18</xdr:col>
      <xdr:colOff>1933575</xdr:colOff>
      <xdr:row>354</xdr:row>
      <xdr:rowOff>285750</xdr:rowOff>
    </xdr:to>
    <xdr:grpSp>
      <xdr:nvGrpSpPr>
        <xdr:cNvPr id="2638" name="Group 3094"/>
        <xdr:cNvGrpSpPr>
          <a:grpSpLocks/>
        </xdr:cNvGrpSpPr>
      </xdr:nvGrpSpPr>
      <xdr:grpSpPr bwMode="auto">
        <a:xfrm>
          <a:off x="6124575" y="134397750"/>
          <a:ext cx="1876425" cy="238125"/>
          <a:chOff x="626" y="613"/>
          <a:chExt cx="197" cy="25"/>
        </a:xfrm>
      </xdr:grpSpPr>
      <xdr:sp macro="" textlink="I355">
        <xdr:nvSpPr>
          <xdr:cNvPr id="2639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4E290B0-58CA-425C-8DB8-B453C1BC0D7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55">
        <xdr:nvSpPr>
          <xdr:cNvPr id="2640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AECC61E-A48C-43CC-A546-4BE3A902A71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55">
        <xdr:nvSpPr>
          <xdr:cNvPr id="2784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05835DA-56AC-40BD-B253-4D7E605E86E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2363</a:t>
            </a:fld>
            <a:endParaRPr lang="en-US"/>
          </a:p>
        </xdr:txBody>
      </xdr:sp>
      <xdr:sp macro="" textlink="L355">
        <xdr:nvSpPr>
          <xdr:cNvPr id="2853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099FDAE-8AC4-4DE2-B723-2A6055CAD33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55">
        <xdr:nvSpPr>
          <xdr:cNvPr id="2854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79232B5-FCF9-48A8-BBC9-98E4906EF16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2855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99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355</xdr:row>
      <xdr:rowOff>76200</xdr:rowOff>
    </xdr:from>
    <xdr:to>
      <xdr:col>18</xdr:col>
      <xdr:colOff>1400175</xdr:colOff>
      <xdr:row>355</xdr:row>
      <xdr:rowOff>257175</xdr:rowOff>
    </xdr:to>
    <xdr:grpSp>
      <xdr:nvGrpSpPr>
        <xdr:cNvPr id="2999" name="Group 1"/>
        <xdr:cNvGrpSpPr>
          <a:grpSpLocks/>
        </xdr:cNvGrpSpPr>
      </xdr:nvGrpSpPr>
      <xdr:grpSpPr bwMode="auto">
        <a:xfrm>
          <a:off x="6591300" y="134759700"/>
          <a:ext cx="876300" cy="180975"/>
          <a:chOff x="594" y="27"/>
          <a:chExt cx="92" cy="19"/>
        </a:xfrm>
      </xdr:grpSpPr>
      <xdr:sp macro="" textlink="">
        <xdr:nvSpPr>
          <xdr:cNvPr id="3000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56">
        <xdr:nvSpPr>
          <xdr:cNvPr id="3386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249596C-E9D1-4760-84AA-7CB14519AA8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3800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356</xdr:row>
      <xdr:rowOff>57150</xdr:rowOff>
    </xdr:from>
    <xdr:to>
      <xdr:col>18</xdr:col>
      <xdr:colOff>1905000</xdr:colOff>
      <xdr:row>356</xdr:row>
      <xdr:rowOff>647700</xdr:rowOff>
    </xdr:to>
    <xdr:grpSp>
      <xdr:nvGrpSpPr>
        <xdr:cNvPr id="3387" name="Group 2968"/>
        <xdr:cNvGrpSpPr>
          <a:grpSpLocks/>
        </xdr:cNvGrpSpPr>
      </xdr:nvGrpSpPr>
      <xdr:grpSpPr bwMode="auto">
        <a:xfrm>
          <a:off x="6124575" y="135074025"/>
          <a:ext cx="1847850" cy="590550"/>
          <a:chOff x="543" y="12509"/>
          <a:chExt cx="194" cy="62"/>
        </a:xfrm>
      </xdr:grpSpPr>
      <xdr:sp macro="" textlink="">
        <xdr:nvSpPr>
          <xdr:cNvPr id="3388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57">
        <xdr:nvSpPr>
          <xdr:cNvPr id="3389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93E7235-67C5-43BF-864E-ECF12B3B99D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357">
        <xdr:nvSpPr>
          <xdr:cNvPr id="3390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4EBA1D1-D5FD-4360-B1F5-FCEAB7C6383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357">
        <xdr:nvSpPr>
          <xdr:cNvPr id="3391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E7E5571-0332-4205-B7F5-E648F017B15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3525</a:t>
            </a:fld>
            <a:endParaRPr lang="en-US"/>
          </a:p>
        </xdr:txBody>
      </xdr:sp>
      <xdr:sp macro="" textlink="L357">
        <xdr:nvSpPr>
          <xdr:cNvPr id="3392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2DA71E2-2DB8-46F5-B252-4E4911F5537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357">
        <xdr:nvSpPr>
          <xdr:cNvPr id="3393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81A8F8D-9471-4C87-8A4F-CD878576F89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3394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95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396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357">
        <xdr:nvSpPr>
          <xdr:cNvPr id="3397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97DFC92-9C31-42EE-8EA9-AAAFAE338BF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357</xdr:row>
      <xdr:rowOff>76200</xdr:rowOff>
    </xdr:from>
    <xdr:to>
      <xdr:col>18</xdr:col>
      <xdr:colOff>1400175</xdr:colOff>
      <xdr:row>357</xdr:row>
      <xdr:rowOff>257175</xdr:rowOff>
    </xdr:to>
    <xdr:grpSp>
      <xdr:nvGrpSpPr>
        <xdr:cNvPr id="3401" name="Group 1"/>
        <xdr:cNvGrpSpPr>
          <a:grpSpLocks/>
        </xdr:cNvGrpSpPr>
      </xdr:nvGrpSpPr>
      <xdr:grpSpPr bwMode="auto">
        <a:xfrm>
          <a:off x="6591300" y="135788400"/>
          <a:ext cx="876300" cy="180975"/>
          <a:chOff x="594" y="27"/>
          <a:chExt cx="92" cy="19"/>
        </a:xfrm>
      </xdr:grpSpPr>
      <xdr:sp macro="" textlink="">
        <xdr:nvSpPr>
          <xdr:cNvPr id="3402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58">
        <xdr:nvSpPr>
          <xdr:cNvPr id="3403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4E49169-7780-4945-887D-7757CA2E69B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3800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359</xdr:row>
      <xdr:rowOff>47625</xdr:rowOff>
    </xdr:from>
    <xdr:to>
      <xdr:col>18</xdr:col>
      <xdr:colOff>1219200</xdr:colOff>
      <xdr:row>359</xdr:row>
      <xdr:rowOff>276225</xdr:rowOff>
    </xdr:to>
    <xdr:grpSp>
      <xdr:nvGrpSpPr>
        <xdr:cNvPr id="3408" name="Group 4"/>
        <xdr:cNvGrpSpPr>
          <a:grpSpLocks/>
        </xdr:cNvGrpSpPr>
      </xdr:nvGrpSpPr>
      <xdr:grpSpPr bwMode="auto">
        <a:xfrm>
          <a:off x="6124575" y="136426575"/>
          <a:ext cx="1162050" cy="228600"/>
          <a:chOff x="545" y="97"/>
          <a:chExt cx="122" cy="24"/>
        </a:xfrm>
      </xdr:grpSpPr>
      <xdr:sp macro="" textlink="">
        <xdr:nvSpPr>
          <xdr:cNvPr id="3409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60">
        <xdr:nvSpPr>
          <xdr:cNvPr id="3410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BA4B4FB-D5FB-426A-8D35-CE0F1791FCC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60">
        <xdr:nvSpPr>
          <xdr:cNvPr id="3411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5DC7614-883A-4907-9A3D-775F7C8A56B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2851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360</xdr:row>
      <xdr:rowOff>47625</xdr:rowOff>
    </xdr:from>
    <xdr:to>
      <xdr:col>18</xdr:col>
      <xdr:colOff>1219200</xdr:colOff>
      <xdr:row>360</xdr:row>
      <xdr:rowOff>276225</xdr:rowOff>
    </xdr:to>
    <xdr:grpSp>
      <xdr:nvGrpSpPr>
        <xdr:cNvPr id="3416" name="Group 4"/>
        <xdr:cNvGrpSpPr>
          <a:grpSpLocks/>
        </xdr:cNvGrpSpPr>
      </xdr:nvGrpSpPr>
      <xdr:grpSpPr bwMode="auto">
        <a:xfrm>
          <a:off x="6124575" y="136759950"/>
          <a:ext cx="1162050" cy="228600"/>
          <a:chOff x="545" y="97"/>
          <a:chExt cx="122" cy="24"/>
        </a:xfrm>
      </xdr:grpSpPr>
      <xdr:sp macro="" textlink="">
        <xdr:nvSpPr>
          <xdr:cNvPr id="3417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61">
        <xdr:nvSpPr>
          <xdr:cNvPr id="3418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6591AA2-2A20-47FB-9BC0-F4E1506A06C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61">
        <xdr:nvSpPr>
          <xdr:cNvPr id="3419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799E0AC-CBC0-49DD-B7D9-82E883A1865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4625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358</xdr:row>
      <xdr:rowOff>47625</xdr:rowOff>
    </xdr:from>
    <xdr:to>
      <xdr:col>18</xdr:col>
      <xdr:colOff>1219200</xdr:colOff>
      <xdr:row>358</xdr:row>
      <xdr:rowOff>276225</xdr:rowOff>
    </xdr:to>
    <xdr:grpSp>
      <xdr:nvGrpSpPr>
        <xdr:cNvPr id="3420" name="Group 4"/>
        <xdr:cNvGrpSpPr>
          <a:grpSpLocks/>
        </xdr:cNvGrpSpPr>
      </xdr:nvGrpSpPr>
      <xdr:grpSpPr bwMode="auto">
        <a:xfrm>
          <a:off x="6124575" y="136093200"/>
          <a:ext cx="1162050" cy="228600"/>
          <a:chOff x="545" y="97"/>
          <a:chExt cx="122" cy="24"/>
        </a:xfrm>
      </xdr:grpSpPr>
      <xdr:sp macro="" textlink="">
        <xdr:nvSpPr>
          <xdr:cNvPr id="3421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59">
        <xdr:nvSpPr>
          <xdr:cNvPr id="3422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F5D7DDE-6C85-429B-B374-AE9A3DFA720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59">
        <xdr:nvSpPr>
          <xdr:cNvPr id="3423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A4E88A7-60C1-4492-AA1E-0770CA1E508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5937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361</xdr:row>
      <xdr:rowOff>76200</xdr:rowOff>
    </xdr:from>
    <xdr:to>
      <xdr:col>18</xdr:col>
      <xdr:colOff>1400175</xdr:colOff>
      <xdr:row>361</xdr:row>
      <xdr:rowOff>257175</xdr:rowOff>
    </xdr:to>
    <xdr:grpSp>
      <xdr:nvGrpSpPr>
        <xdr:cNvPr id="3427" name="Group 1"/>
        <xdr:cNvGrpSpPr>
          <a:grpSpLocks/>
        </xdr:cNvGrpSpPr>
      </xdr:nvGrpSpPr>
      <xdr:grpSpPr bwMode="auto">
        <a:xfrm>
          <a:off x="6591300" y="137121900"/>
          <a:ext cx="876300" cy="180975"/>
          <a:chOff x="594" y="27"/>
          <a:chExt cx="92" cy="19"/>
        </a:xfrm>
      </xdr:grpSpPr>
      <xdr:sp macro="" textlink="">
        <xdr:nvSpPr>
          <xdr:cNvPr id="3428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62">
        <xdr:nvSpPr>
          <xdr:cNvPr id="3429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DF40890-30FC-47E3-884A-C91FFAAAABC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7525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362</xdr:row>
      <xdr:rowOff>47625</xdr:rowOff>
    </xdr:from>
    <xdr:to>
      <xdr:col>18</xdr:col>
      <xdr:colOff>1933575</xdr:colOff>
      <xdr:row>362</xdr:row>
      <xdr:rowOff>285750</xdr:rowOff>
    </xdr:to>
    <xdr:grpSp>
      <xdr:nvGrpSpPr>
        <xdr:cNvPr id="3430" name="Group 3094"/>
        <xdr:cNvGrpSpPr>
          <a:grpSpLocks/>
        </xdr:cNvGrpSpPr>
      </xdr:nvGrpSpPr>
      <xdr:grpSpPr bwMode="auto">
        <a:xfrm>
          <a:off x="6124575" y="137426700"/>
          <a:ext cx="1876425" cy="238125"/>
          <a:chOff x="626" y="613"/>
          <a:chExt cx="197" cy="25"/>
        </a:xfrm>
      </xdr:grpSpPr>
      <xdr:sp macro="" textlink="I363">
        <xdr:nvSpPr>
          <xdr:cNvPr id="3431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1D077FE-5C4E-4020-996C-2B60CDE355B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63">
        <xdr:nvSpPr>
          <xdr:cNvPr id="3432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519A78C-DABF-4C8C-A86B-8BF9858CB4F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63">
        <xdr:nvSpPr>
          <xdr:cNvPr id="3433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1220FD7-FF22-4531-B013-5CF31AB8F2F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4625</a:t>
            </a:fld>
            <a:endParaRPr lang="en-US"/>
          </a:p>
        </xdr:txBody>
      </xdr:sp>
      <xdr:sp macro="" textlink="L363">
        <xdr:nvSpPr>
          <xdr:cNvPr id="3434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0919386-255E-4863-A6B0-3847F355FFD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63">
        <xdr:nvSpPr>
          <xdr:cNvPr id="3435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B73DB10-74A3-4851-9B5F-982EE6C25D5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436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437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363</xdr:row>
      <xdr:rowOff>47625</xdr:rowOff>
    </xdr:from>
    <xdr:to>
      <xdr:col>18</xdr:col>
      <xdr:colOff>1219200</xdr:colOff>
      <xdr:row>363</xdr:row>
      <xdr:rowOff>276225</xdr:rowOff>
    </xdr:to>
    <xdr:grpSp>
      <xdr:nvGrpSpPr>
        <xdr:cNvPr id="3438" name="Group 4"/>
        <xdr:cNvGrpSpPr>
          <a:grpSpLocks/>
        </xdr:cNvGrpSpPr>
      </xdr:nvGrpSpPr>
      <xdr:grpSpPr bwMode="auto">
        <a:xfrm>
          <a:off x="6124575" y="137760075"/>
          <a:ext cx="1162050" cy="228600"/>
          <a:chOff x="545" y="97"/>
          <a:chExt cx="122" cy="24"/>
        </a:xfrm>
      </xdr:grpSpPr>
      <xdr:sp macro="" textlink="">
        <xdr:nvSpPr>
          <xdr:cNvPr id="3439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64">
        <xdr:nvSpPr>
          <xdr:cNvPr id="3440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BC2F599-7E3A-4AF9-9036-5525B7EA215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64">
        <xdr:nvSpPr>
          <xdr:cNvPr id="3441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F36C450-2713-4FAF-AD51-378E87892A0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2612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364</xdr:row>
      <xdr:rowOff>28575</xdr:rowOff>
    </xdr:from>
    <xdr:to>
      <xdr:col>18</xdr:col>
      <xdr:colOff>1724025</xdr:colOff>
      <xdr:row>364</xdr:row>
      <xdr:rowOff>295275</xdr:rowOff>
    </xdr:to>
    <xdr:grpSp>
      <xdr:nvGrpSpPr>
        <xdr:cNvPr id="3442" name="Group 3050"/>
        <xdr:cNvGrpSpPr>
          <a:grpSpLocks/>
        </xdr:cNvGrpSpPr>
      </xdr:nvGrpSpPr>
      <xdr:grpSpPr bwMode="auto">
        <a:xfrm>
          <a:off x="6124575" y="138074400"/>
          <a:ext cx="1666875" cy="266700"/>
          <a:chOff x="589" y="376"/>
          <a:chExt cx="175" cy="28"/>
        </a:xfrm>
      </xdr:grpSpPr>
      <xdr:sp macro="" textlink="I365">
        <xdr:nvSpPr>
          <xdr:cNvPr id="3443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6B9BD7A-8D1D-452B-87E4-7CC6FE784DA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65">
        <xdr:nvSpPr>
          <xdr:cNvPr id="3444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CDFE3551-EF67-4BD2-91D3-C11D00D98CF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65">
        <xdr:nvSpPr>
          <xdr:cNvPr id="3445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44043FC-D013-42DA-86F0-618876325B9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3446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447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365</xdr:row>
      <xdr:rowOff>28575</xdr:rowOff>
    </xdr:from>
    <xdr:to>
      <xdr:col>18</xdr:col>
      <xdr:colOff>1724025</xdr:colOff>
      <xdr:row>365</xdr:row>
      <xdr:rowOff>295275</xdr:rowOff>
    </xdr:to>
    <xdr:grpSp>
      <xdr:nvGrpSpPr>
        <xdr:cNvPr id="3454" name="Group 3050"/>
        <xdr:cNvGrpSpPr>
          <a:grpSpLocks/>
        </xdr:cNvGrpSpPr>
      </xdr:nvGrpSpPr>
      <xdr:grpSpPr bwMode="auto">
        <a:xfrm>
          <a:off x="6124575" y="138407775"/>
          <a:ext cx="1666875" cy="266700"/>
          <a:chOff x="589" y="376"/>
          <a:chExt cx="175" cy="28"/>
        </a:xfrm>
      </xdr:grpSpPr>
      <xdr:sp macro="" textlink="I366">
        <xdr:nvSpPr>
          <xdr:cNvPr id="3455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C0A6F8F-DAD8-4D81-9E33-8F6FED004F9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66">
        <xdr:nvSpPr>
          <xdr:cNvPr id="3456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7450CBF-7F64-41A2-B6D3-F5568F6ED60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66">
        <xdr:nvSpPr>
          <xdr:cNvPr id="3457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348159A-5E6D-46EA-BA65-4E7490BDA2F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3458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459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366</xdr:row>
      <xdr:rowOff>47625</xdr:rowOff>
    </xdr:from>
    <xdr:to>
      <xdr:col>18</xdr:col>
      <xdr:colOff>1933575</xdr:colOff>
      <xdr:row>366</xdr:row>
      <xdr:rowOff>285750</xdr:rowOff>
    </xdr:to>
    <xdr:grpSp>
      <xdr:nvGrpSpPr>
        <xdr:cNvPr id="3460" name="Group 3094"/>
        <xdr:cNvGrpSpPr>
          <a:grpSpLocks/>
        </xdr:cNvGrpSpPr>
      </xdr:nvGrpSpPr>
      <xdr:grpSpPr bwMode="auto">
        <a:xfrm>
          <a:off x="6124575" y="138760200"/>
          <a:ext cx="1876425" cy="238125"/>
          <a:chOff x="626" y="613"/>
          <a:chExt cx="197" cy="25"/>
        </a:xfrm>
      </xdr:grpSpPr>
      <xdr:sp macro="" textlink="I367">
        <xdr:nvSpPr>
          <xdr:cNvPr id="3461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85F6D93-2E83-44EC-8D95-F71C69FFEB7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67">
        <xdr:nvSpPr>
          <xdr:cNvPr id="3462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0814EC1-2911-4AE5-AC07-909EC7A238B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67">
        <xdr:nvSpPr>
          <xdr:cNvPr id="3463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97AAE4A-1D08-4CEC-AF0C-DA2122C011B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4163</a:t>
            </a:fld>
            <a:endParaRPr lang="en-US"/>
          </a:p>
        </xdr:txBody>
      </xdr:sp>
      <xdr:sp macro="" textlink="L367">
        <xdr:nvSpPr>
          <xdr:cNvPr id="3464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2E690DF-F39C-467B-8168-7B84BDF18C4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67">
        <xdr:nvSpPr>
          <xdr:cNvPr id="3465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9C2E871-1573-46B8-9689-37DCFB42602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466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467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367</xdr:row>
      <xdr:rowOff>76200</xdr:rowOff>
    </xdr:from>
    <xdr:to>
      <xdr:col>18</xdr:col>
      <xdr:colOff>1400175</xdr:colOff>
      <xdr:row>367</xdr:row>
      <xdr:rowOff>257175</xdr:rowOff>
    </xdr:to>
    <xdr:grpSp>
      <xdr:nvGrpSpPr>
        <xdr:cNvPr id="3468" name="Group 1"/>
        <xdr:cNvGrpSpPr>
          <a:grpSpLocks/>
        </xdr:cNvGrpSpPr>
      </xdr:nvGrpSpPr>
      <xdr:grpSpPr bwMode="auto">
        <a:xfrm>
          <a:off x="6591300" y="139122150"/>
          <a:ext cx="876300" cy="180975"/>
          <a:chOff x="594" y="27"/>
          <a:chExt cx="92" cy="19"/>
        </a:xfrm>
      </xdr:grpSpPr>
      <xdr:sp macro="" textlink="">
        <xdr:nvSpPr>
          <xdr:cNvPr id="3469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68">
        <xdr:nvSpPr>
          <xdr:cNvPr id="3470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74F9CFB-BB93-48B6-9CC4-217EAFD5EF2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3800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368</xdr:row>
      <xdr:rowOff>57150</xdr:rowOff>
    </xdr:from>
    <xdr:to>
      <xdr:col>18</xdr:col>
      <xdr:colOff>1905000</xdr:colOff>
      <xdr:row>368</xdr:row>
      <xdr:rowOff>647700</xdr:rowOff>
    </xdr:to>
    <xdr:grpSp>
      <xdr:nvGrpSpPr>
        <xdr:cNvPr id="3471" name="Group 2968"/>
        <xdr:cNvGrpSpPr>
          <a:grpSpLocks/>
        </xdr:cNvGrpSpPr>
      </xdr:nvGrpSpPr>
      <xdr:grpSpPr bwMode="auto">
        <a:xfrm>
          <a:off x="6124575" y="139436475"/>
          <a:ext cx="1847850" cy="276225"/>
          <a:chOff x="543" y="12509"/>
          <a:chExt cx="194" cy="62"/>
        </a:xfrm>
      </xdr:grpSpPr>
      <xdr:sp macro="" textlink="">
        <xdr:nvSpPr>
          <xdr:cNvPr id="3472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69">
        <xdr:nvSpPr>
          <xdr:cNvPr id="3473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974A3B0-666C-4612-A317-8B6B23B090C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369">
        <xdr:nvSpPr>
          <xdr:cNvPr id="3474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BF37D9F-E0E2-4CFB-991E-459C7E6FA99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369">
        <xdr:nvSpPr>
          <xdr:cNvPr id="3475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58668B0-E29B-40C4-B522-F0BF67BD096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3525</a:t>
            </a:fld>
            <a:endParaRPr lang="en-US"/>
          </a:p>
        </xdr:txBody>
      </xdr:sp>
      <xdr:sp macro="" textlink="L369">
        <xdr:nvSpPr>
          <xdr:cNvPr id="3476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56D872A-7FB2-4CFC-BC33-0142169A8D6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369">
        <xdr:nvSpPr>
          <xdr:cNvPr id="3477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7D00EA4-1B70-4E30-9826-F370E5E4862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3478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479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480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369">
        <xdr:nvSpPr>
          <xdr:cNvPr id="3481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E879117-31E5-475C-98D4-638DD054188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369</xdr:row>
      <xdr:rowOff>76200</xdr:rowOff>
    </xdr:from>
    <xdr:to>
      <xdr:col>18</xdr:col>
      <xdr:colOff>1400175</xdr:colOff>
      <xdr:row>369</xdr:row>
      <xdr:rowOff>257175</xdr:rowOff>
    </xdr:to>
    <xdr:grpSp>
      <xdr:nvGrpSpPr>
        <xdr:cNvPr id="3485" name="Group 1"/>
        <xdr:cNvGrpSpPr>
          <a:grpSpLocks/>
        </xdr:cNvGrpSpPr>
      </xdr:nvGrpSpPr>
      <xdr:grpSpPr bwMode="auto">
        <a:xfrm>
          <a:off x="6591300" y="139788900"/>
          <a:ext cx="876300" cy="180975"/>
          <a:chOff x="594" y="27"/>
          <a:chExt cx="92" cy="19"/>
        </a:xfrm>
      </xdr:grpSpPr>
      <xdr:sp macro="" textlink="">
        <xdr:nvSpPr>
          <xdr:cNvPr id="3486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70">
        <xdr:nvSpPr>
          <xdr:cNvPr id="3487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E532CD7-FEC2-4571-B035-773735B656B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3800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370</xdr:row>
      <xdr:rowOff>47625</xdr:rowOff>
    </xdr:from>
    <xdr:to>
      <xdr:col>18</xdr:col>
      <xdr:colOff>1933575</xdr:colOff>
      <xdr:row>370</xdr:row>
      <xdr:rowOff>285750</xdr:rowOff>
    </xdr:to>
    <xdr:grpSp>
      <xdr:nvGrpSpPr>
        <xdr:cNvPr id="3488" name="Group 3094"/>
        <xdr:cNvGrpSpPr>
          <a:grpSpLocks/>
        </xdr:cNvGrpSpPr>
      </xdr:nvGrpSpPr>
      <xdr:grpSpPr bwMode="auto">
        <a:xfrm>
          <a:off x="6124575" y="140455650"/>
          <a:ext cx="1876425" cy="238125"/>
          <a:chOff x="626" y="613"/>
          <a:chExt cx="197" cy="25"/>
        </a:xfrm>
      </xdr:grpSpPr>
      <xdr:sp macro="" textlink="I371">
        <xdr:nvSpPr>
          <xdr:cNvPr id="3489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B0AE9C8-5252-4769-9228-6C53164ECFC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71">
        <xdr:nvSpPr>
          <xdr:cNvPr id="3490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D92681B-DEEB-4499-9FCC-892445397BD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71">
        <xdr:nvSpPr>
          <xdr:cNvPr id="3491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E90AB07-1127-4D71-BC03-B097B2529EE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3937</a:t>
            </a:fld>
            <a:endParaRPr lang="en-US"/>
          </a:p>
        </xdr:txBody>
      </xdr:sp>
      <xdr:sp macro="" textlink="L371">
        <xdr:nvSpPr>
          <xdr:cNvPr id="3492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BAB5920-68D0-47F9-AD24-7EEDC78E4CE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71">
        <xdr:nvSpPr>
          <xdr:cNvPr id="3493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2A91F8D-6611-4041-A3E9-FB57800A5C5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494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495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371</xdr:row>
      <xdr:rowOff>47625</xdr:rowOff>
    </xdr:from>
    <xdr:to>
      <xdr:col>18</xdr:col>
      <xdr:colOff>1219200</xdr:colOff>
      <xdr:row>371</xdr:row>
      <xdr:rowOff>276225</xdr:rowOff>
    </xdr:to>
    <xdr:grpSp>
      <xdr:nvGrpSpPr>
        <xdr:cNvPr id="3500" name="Group 4"/>
        <xdr:cNvGrpSpPr>
          <a:grpSpLocks/>
        </xdr:cNvGrpSpPr>
      </xdr:nvGrpSpPr>
      <xdr:grpSpPr bwMode="auto">
        <a:xfrm>
          <a:off x="6124575" y="140789025"/>
          <a:ext cx="1162050" cy="228600"/>
          <a:chOff x="545" y="97"/>
          <a:chExt cx="122" cy="24"/>
        </a:xfrm>
      </xdr:grpSpPr>
      <xdr:sp macro="" textlink="">
        <xdr:nvSpPr>
          <xdr:cNvPr id="3501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72">
        <xdr:nvSpPr>
          <xdr:cNvPr id="3502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14C0848-B107-4425-9F96-0B80391CF8A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72">
        <xdr:nvSpPr>
          <xdr:cNvPr id="3503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249358B-93EC-4E77-8491-3BF03FB206E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1538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372</xdr:row>
      <xdr:rowOff>47625</xdr:rowOff>
    </xdr:from>
    <xdr:to>
      <xdr:col>18</xdr:col>
      <xdr:colOff>1219200</xdr:colOff>
      <xdr:row>372</xdr:row>
      <xdr:rowOff>276225</xdr:rowOff>
    </xdr:to>
    <xdr:grpSp>
      <xdr:nvGrpSpPr>
        <xdr:cNvPr id="3504" name="Group 4"/>
        <xdr:cNvGrpSpPr>
          <a:grpSpLocks/>
        </xdr:cNvGrpSpPr>
      </xdr:nvGrpSpPr>
      <xdr:grpSpPr bwMode="auto">
        <a:xfrm>
          <a:off x="6124575" y="141122400"/>
          <a:ext cx="1162050" cy="228600"/>
          <a:chOff x="545" y="97"/>
          <a:chExt cx="122" cy="24"/>
        </a:xfrm>
      </xdr:grpSpPr>
      <xdr:sp macro="" textlink="">
        <xdr:nvSpPr>
          <xdr:cNvPr id="3505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73">
        <xdr:nvSpPr>
          <xdr:cNvPr id="3506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992CD48-1B25-465A-9643-FD77A726D21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73">
        <xdr:nvSpPr>
          <xdr:cNvPr id="3507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5FCE024-D116-483F-A0C3-6BE0C96ACC8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373</xdr:row>
      <xdr:rowOff>57150</xdr:rowOff>
    </xdr:from>
    <xdr:to>
      <xdr:col>18</xdr:col>
      <xdr:colOff>1905000</xdr:colOff>
      <xdr:row>373</xdr:row>
      <xdr:rowOff>647700</xdr:rowOff>
    </xdr:to>
    <xdr:grpSp>
      <xdr:nvGrpSpPr>
        <xdr:cNvPr id="3508" name="Group 2968"/>
        <xdr:cNvGrpSpPr>
          <a:grpSpLocks/>
        </xdr:cNvGrpSpPr>
      </xdr:nvGrpSpPr>
      <xdr:grpSpPr bwMode="auto">
        <a:xfrm>
          <a:off x="6124575" y="141465300"/>
          <a:ext cx="1847850" cy="276225"/>
          <a:chOff x="543" y="12509"/>
          <a:chExt cx="194" cy="62"/>
        </a:xfrm>
      </xdr:grpSpPr>
      <xdr:sp macro="" textlink="">
        <xdr:nvSpPr>
          <xdr:cNvPr id="3509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74">
        <xdr:nvSpPr>
          <xdr:cNvPr id="3510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DDAD0FF-B591-4B06-B5AF-26106B7E874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374">
        <xdr:nvSpPr>
          <xdr:cNvPr id="3511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1C4B697-4851-48E1-9BAF-59DE67DC5B4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374">
        <xdr:nvSpPr>
          <xdr:cNvPr id="3512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A734CAE-7643-4564-AA4A-47E0626BEFF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7525</a:t>
            </a:fld>
            <a:endParaRPr lang="en-US"/>
          </a:p>
        </xdr:txBody>
      </xdr:sp>
      <xdr:sp macro="" textlink="L374">
        <xdr:nvSpPr>
          <xdr:cNvPr id="3513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09E3634-BAC1-4DB5-A13C-46BBEA20291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374">
        <xdr:nvSpPr>
          <xdr:cNvPr id="3514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14EA60D-EE20-4793-8675-050AE31ABF7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3515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16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17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374">
        <xdr:nvSpPr>
          <xdr:cNvPr id="3518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6EFD73D-90B2-48B8-B103-7FB6584C7EB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374</xdr:row>
      <xdr:rowOff>47625</xdr:rowOff>
    </xdr:from>
    <xdr:to>
      <xdr:col>18</xdr:col>
      <xdr:colOff>1219200</xdr:colOff>
      <xdr:row>374</xdr:row>
      <xdr:rowOff>276225</xdr:rowOff>
    </xdr:to>
    <xdr:grpSp>
      <xdr:nvGrpSpPr>
        <xdr:cNvPr id="3519" name="Group 4"/>
        <xdr:cNvGrpSpPr>
          <a:grpSpLocks/>
        </xdr:cNvGrpSpPr>
      </xdr:nvGrpSpPr>
      <xdr:grpSpPr bwMode="auto">
        <a:xfrm>
          <a:off x="6124575" y="141789150"/>
          <a:ext cx="1162050" cy="228600"/>
          <a:chOff x="545" y="97"/>
          <a:chExt cx="122" cy="24"/>
        </a:xfrm>
      </xdr:grpSpPr>
      <xdr:sp macro="" textlink="">
        <xdr:nvSpPr>
          <xdr:cNvPr id="3520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75">
        <xdr:nvSpPr>
          <xdr:cNvPr id="3521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6828B33-DEBE-48EA-AF45-D0EF17F80BB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75">
        <xdr:nvSpPr>
          <xdr:cNvPr id="3522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ADDBEE0-AC58-4924-BF3B-CE3DDD93332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375</xdr:row>
      <xdr:rowOff>47625</xdr:rowOff>
    </xdr:from>
    <xdr:to>
      <xdr:col>18</xdr:col>
      <xdr:colOff>1219200</xdr:colOff>
      <xdr:row>375</xdr:row>
      <xdr:rowOff>276225</xdr:rowOff>
    </xdr:to>
    <xdr:grpSp>
      <xdr:nvGrpSpPr>
        <xdr:cNvPr id="3527" name="Group 4"/>
        <xdr:cNvGrpSpPr>
          <a:grpSpLocks/>
        </xdr:cNvGrpSpPr>
      </xdr:nvGrpSpPr>
      <xdr:grpSpPr bwMode="auto">
        <a:xfrm>
          <a:off x="6124575" y="142122525"/>
          <a:ext cx="1162050" cy="228600"/>
          <a:chOff x="545" y="97"/>
          <a:chExt cx="122" cy="24"/>
        </a:xfrm>
      </xdr:grpSpPr>
      <xdr:sp macro="" textlink="">
        <xdr:nvSpPr>
          <xdr:cNvPr id="3528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76">
        <xdr:nvSpPr>
          <xdr:cNvPr id="3529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72251FC-5E5D-499D-A254-5B736360CB1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76">
        <xdr:nvSpPr>
          <xdr:cNvPr id="3530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10AAD7A-2DAA-45FD-89A4-4D650746D3A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1312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376</xdr:row>
      <xdr:rowOff>28575</xdr:rowOff>
    </xdr:from>
    <xdr:to>
      <xdr:col>18</xdr:col>
      <xdr:colOff>1724025</xdr:colOff>
      <xdr:row>376</xdr:row>
      <xdr:rowOff>295275</xdr:rowOff>
    </xdr:to>
    <xdr:grpSp>
      <xdr:nvGrpSpPr>
        <xdr:cNvPr id="3537" name="Group 3050"/>
        <xdr:cNvGrpSpPr>
          <a:grpSpLocks/>
        </xdr:cNvGrpSpPr>
      </xdr:nvGrpSpPr>
      <xdr:grpSpPr bwMode="auto">
        <a:xfrm>
          <a:off x="6124575" y="142436850"/>
          <a:ext cx="1666875" cy="266700"/>
          <a:chOff x="589" y="376"/>
          <a:chExt cx="175" cy="28"/>
        </a:xfrm>
      </xdr:grpSpPr>
      <xdr:sp macro="" textlink="I377">
        <xdr:nvSpPr>
          <xdr:cNvPr id="3538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208FFBF-3DF7-4359-B0B7-3D3DBBA11B1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77">
        <xdr:nvSpPr>
          <xdr:cNvPr id="3539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DA45E8E-D30E-4B2C-A7BB-B26AA88B625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77">
        <xdr:nvSpPr>
          <xdr:cNvPr id="3540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5C125CD-99AB-45EF-B790-0E82691B601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3541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542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377</xdr:row>
      <xdr:rowOff>28575</xdr:rowOff>
    </xdr:from>
    <xdr:to>
      <xdr:col>18</xdr:col>
      <xdr:colOff>1724025</xdr:colOff>
      <xdr:row>377</xdr:row>
      <xdr:rowOff>295275</xdr:rowOff>
    </xdr:to>
    <xdr:grpSp>
      <xdr:nvGrpSpPr>
        <xdr:cNvPr id="3549" name="Group 3050"/>
        <xdr:cNvGrpSpPr>
          <a:grpSpLocks/>
        </xdr:cNvGrpSpPr>
      </xdr:nvGrpSpPr>
      <xdr:grpSpPr bwMode="auto">
        <a:xfrm>
          <a:off x="6124575" y="142770225"/>
          <a:ext cx="1666875" cy="266700"/>
          <a:chOff x="589" y="376"/>
          <a:chExt cx="175" cy="28"/>
        </a:xfrm>
      </xdr:grpSpPr>
      <xdr:sp macro="" textlink="I378">
        <xdr:nvSpPr>
          <xdr:cNvPr id="3550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E1FC4FD-283A-4E64-A7D6-1A79ECE6658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78">
        <xdr:nvSpPr>
          <xdr:cNvPr id="3551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EC0B691-04DB-4B76-8582-9D12FBA9F0E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78">
        <xdr:nvSpPr>
          <xdr:cNvPr id="3552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3BFBB24-38ED-44D7-BEC1-104BADBF713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3553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554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378</xdr:row>
      <xdr:rowOff>47625</xdr:rowOff>
    </xdr:from>
    <xdr:to>
      <xdr:col>18</xdr:col>
      <xdr:colOff>1933575</xdr:colOff>
      <xdr:row>378</xdr:row>
      <xdr:rowOff>285750</xdr:rowOff>
    </xdr:to>
    <xdr:grpSp>
      <xdr:nvGrpSpPr>
        <xdr:cNvPr id="3555" name="Group 3094"/>
        <xdr:cNvGrpSpPr>
          <a:grpSpLocks/>
        </xdr:cNvGrpSpPr>
      </xdr:nvGrpSpPr>
      <xdr:grpSpPr bwMode="auto">
        <a:xfrm>
          <a:off x="6124575" y="143122650"/>
          <a:ext cx="1876425" cy="238125"/>
          <a:chOff x="626" y="613"/>
          <a:chExt cx="197" cy="25"/>
        </a:xfrm>
      </xdr:grpSpPr>
      <xdr:sp macro="" textlink="I379">
        <xdr:nvSpPr>
          <xdr:cNvPr id="3556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D926BC9-F4FB-48F3-91BE-B8A0C5C620A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79">
        <xdr:nvSpPr>
          <xdr:cNvPr id="3557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5E3C328-CA6E-4EB6-A3A3-326A297DA23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79">
        <xdr:nvSpPr>
          <xdr:cNvPr id="3558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D784E51-7921-4BB7-93DB-FBAACF80CAB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7350</a:t>
            </a:fld>
            <a:endParaRPr lang="en-US"/>
          </a:p>
        </xdr:txBody>
      </xdr:sp>
      <xdr:sp macro="" textlink="L379">
        <xdr:nvSpPr>
          <xdr:cNvPr id="3559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75C0928-D9AF-4287-84A5-30F08D67F87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79">
        <xdr:nvSpPr>
          <xdr:cNvPr id="3560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CB0BC3E-357F-4536-840F-FA05F3897FF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561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562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379</xdr:row>
      <xdr:rowOff>76200</xdr:rowOff>
    </xdr:from>
    <xdr:to>
      <xdr:col>18</xdr:col>
      <xdr:colOff>1400175</xdr:colOff>
      <xdr:row>379</xdr:row>
      <xdr:rowOff>257175</xdr:rowOff>
    </xdr:to>
    <xdr:grpSp>
      <xdr:nvGrpSpPr>
        <xdr:cNvPr id="3566" name="Group 1"/>
        <xdr:cNvGrpSpPr>
          <a:grpSpLocks/>
        </xdr:cNvGrpSpPr>
      </xdr:nvGrpSpPr>
      <xdr:grpSpPr bwMode="auto">
        <a:xfrm>
          <a:off x="6591300" y="143484600"/>
          <a:ext cx="876300" cy="180975"/>
          <a:chOff x="594" y="27"/>
          <a:chExt cx="92" cy="19"/>
        </a:xfrm>
      </xdr:grpSpPr>
      <xdr:sp macro="" textlink="">
        <xdr:nvSpPr>
          <xdr:cNvPr id="3567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80">
        <xdr:nvSpPr>
          <xdr:cNvPr id="3568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10113B9-1AB2-4FD2-974C-9D8393D8554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2200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380</xdr:row>
      <xdr:rowOff>47625</xdr:rowOff>
    </xdr:from>
    <xdr:to>
      <xdr:col>18</xdr:col>
      <xdr:colOff>1933575</xdr:colOff>
      <xdr:row>380</xdr:row>
      <xdr:rowOff>285750</xdr:rowOff>
    </xdr:to>
    <xdr:grpSp>
      <xdr:nvGrpSpPr>
        <xdr:cNvPr id="3569" name="Group 3094"/>
        <xdr:cNvGrpSpPr>
          <a:grpSpLocks/>
        </xdr:cNvGrpSpPr>
      </xdr:nvGrpSpPr>
      <xdr:grpSpPr bwMode="auto">
        <a:xfrm>
          <a:off x="6124575" y="143789400"/>
          <a:ext cx="1876425" cy="238125"/>
          <a:chOff x="626" y="613"/>
          <a:chExt cx="197" cy="25"/>
        </a:xfrm>
      </xdr:grpSpPr>
      <xdr:sp macro="" textlink="I381">
        <xdr:nvSpPr>
          <xdr:cNvPr id="3570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63EF559-A606-4E76-8698-EF65AB39FD9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81">
        <xdr:nvSpPr>
          <xdr:cNvPr id="3571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BB7AFA0-F068-46F3-9289-8F3164C39F2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81">
        <xdr:nvSpPr>
          <xdr:cNvPr id="3572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9841222-9AFA-45BF-8A5C-081D7C91992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3225</a:t>
            </a:fld>
            <a:endParaRPr lang="en-US"/>
          </a:p>
        </xdr:txBody>
      </xdr:sp>
      <xdr:sp macro="" textlink="L381">
        <xdr:nvSpPr>
          <xdr:cNvPr id="3573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DAB3707-F4CB-4553-8CBA-070B3F04A0D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81">
        <xdr:nvSpPr>
          <xdr:cNvPr id="3574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BDCDF61-61C6-4435-BFD6-11BED0B019F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575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576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381</xdr:row>
      <xdr:rowOff>47625</xdr:rowOff>
    </xdr:from>
    <xdr:to>
      <xdr:col>18</xdr:col>
      <xdr:colOff>1933575</xdr:colOff>
      <xdr:row>381</xdr:row>
      <xdr:rowOff>285750</xdr:rowOff>
    </xdr:to>
    <xdr:grpSp>
      <xdr:nvGrpSpPr>
        <xdr:cNvPr id="3577" name="Group 3094"/>
        <xdr:cNvGrpSpPr>
          <a:grpSpLocks/>
        </xdr:cNvGrpSpPr>
      </xdr:nvGrpSpPr>
      <xdr:grpSpPr bwMode="auto">
        <a:xfrm>
          <a:off x="6124575" y="144122775"/>
          <a:ext cx="1876425" cy="238125"/>
          <a:chOff x="626" y="613"/>
          <a:chExt cx="197" cy="25"/>
        </a:xfrm>
      </xdr:grpSpPr>
      <xdr:sp macro="" textlink="I382">
        <xdr:nvSpPr>
          <xdr:cNvPr id="357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040305E-BAE7-4B67-9892-62F0B6A7373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82">
        <xdr:nvSpPr>
          <xdr:cNvPr id="3579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EAED041-15F4-4307-9EDE-6BB7F66A74F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82">
        <xdr:nvSpPr>
          <xdr:cNvPr id="3580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E3E0AB8-83D1-47CB-95A5-2EEBD937F23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8350</a:t>
            </a:fld>
            <a:endParaRPr lang="en-US"/>
          </a:p>
        </xdr:txBody>
      </xdr:sp>
      <xdr:sp macro="" textlink="L382">
        <xdr:nvSpPr>
          <xdr:cNvPr id="3581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F621699-3FEA-464C-946F-45E22A14DF7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82">
        <xdr:nvSpPr>
          <xdr:cNvPr id="358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4C40F2F-5E8B-4D05-A4E4-E6A1AE292E3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358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58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382</xdr:row>
      <xdr:rowOff>47625</xdr:rowOff>
    </xdr:from>
    <xdr:to>
      <xdr:col>18</xdr:col>
      <xdr:colOff>1219200</xdr:colOff>
      <xdr:row>382</xdr:row>
      <xdr:rowOff>276225</xdr:rowOff>
    </xdr:to>
    <xdr:grpSp>
      <xdr:nvGrpSpPr>
        <xdr:cNvPr id="4004" name="Group 4"/>
        <xdr:cNvGrpSpPr>
          <a:grpSpLocks/>
        </xdr:cNvGrpSpPr>
      </xdr:nvGrpSpPr>
      <xdr:grpSpPr bwMode="auto">
        <a:xfrm>
          <a:off x="6124575" y="144818100"/>
          <a:ext cx="1162050" cy="228600"/>
          <a:chOff x="545" y="97"/>
          <a:chExt cx="122" cy="24"/>
        </a:xfrm>
      </xdr:grpSpPr>
      <xdr:sp macro="" textlink="">
        <xdr:nvSpPr>
          <xdr:cNvPr id="4005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83">
        <xdr:nvSpPr>
          <xdr:cNvPr id="4006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2DC52EB-7F89-4CDD-81AD-85BAC839B7B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83">
        <xdr:nvSpPr>
          <xdr:cNvPr id="4007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905BF55-EAFC-43C5-A6B9-E44E399CEF8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4425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383</xdr:row>
      <xdr:rowOff>28575</xdr:rowOff>
    </xdr:from>
    <xdr:to>
      <xdr:col>18</xdr:col>
      <xdr:colOff>1724025</xdr:colOff>
      <xdr:row>383</xdr:row>
      <xdr:rowOff>295275</xdr:rowOff>
    </xdr:to>
    <xdr:grpSp>
      <xdr:nvGrpSpPr>
        <xdr:cNvPr id="4008" name="Group 3050"/>
        <xdr:cNvGrpSpPr>
          <a:grpSpLocks/>
        </xdr:cNvGrpSpPr>
      </xdr:nvGrpSpPr>
      <xdr:grpSpPr bwMode="auto">
        <a:xfrm>
          <a:off x="6124575" y="145132425"/>
          <a:ext cx="1666875" cy="266700"/>
          <a:chOff x="589" y="376"/>
          <a:chExt cx="175" cy="28"/>
        </a:xfrm>
      </xdr:grpSpPr>
      <xdr:sp macro="" textlink="I384">
        <xdr:nvSpPr>
          <xdr:cNvPr id="4017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DF51387-29A4-4A29-85F5-C22E5FA74E0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84">
        <xdr:nvSpPr>
          <xdr:cNvPr id="4018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77759B4-9299-4CFE-B400-E1C3DCEE05E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84">
        <xdr:nvSpPr>
          <xdr:cNvPr id="4019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098ABF5-9F26-4718-908D-ECBB782BB79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4031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032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384</xdr:row>
      <xdr:rowOff>47625</xdr:rowOff>
    </xdr:from>
    <xdr:to>
      <xdr:col>18</xdr:col>
      <xdr:colOff>1933575</xdr:colOff>
      <xdr:row>384</xdr:row>
      <xdr:rowOff>285750</xdr:rowOff>
    </xdr:to>
    <xdr:grpSp>
      <xdr:nvGrpSpPr>
        <xdr:cNvPr id="4033" name="Group 3094"/>
        <xdr:cNvGrpSpPr>
          <a:grpSpLocks/>
        </xdr:cNvGrpSpPr>
      </xdr:nvGrpSpPr>
      <xdr:grpSpPr bwMode="auto">
        <a:xfrm>
          <a:off x="6124575" y="145484850"/>
          <a:ext cx="1876425" cy="238125"/>
          <a:chOff x="626" y="613"/>
          <a:chExt cx="197" cy="25"/>
        </a:xfrm>
      </xdr:grpSpPr>
      <xdr:sp macro="" textlink="I385">
        <xdr:nvSpPr>
          <xdr:cNvPr id="4034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4F1D18E-7CC0-4C7C-A5BF-9C988C85D7D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85">
        <xdr:nvSpPr>
          <xdr:cNvPr id="4035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FC60DCF-212E-4677-A6E3-7A6BF6D2921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85">
        <xdr:nvSpPr>
          <xdr:cNvPr id="4036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0837571-0247-404B-BF0C-B3338A54CC2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3900</a:t>
            </a:fld>
            <a:endParaRPr lang="en-US"/>
          </a:p>
        </xdr:txBody>
      </xdr:sp>
      <xdr:sp macro="" textlink="L385">
        <xdr:nvSpPr>
          <xdr:cNvPr id="4049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03AFD14-D2B5-4DF4-A8DA-EB01B5E27C4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85">
        <xdr:nvSpPr>
          <xdr:cNvPr id="4050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97C8C9A-061B-40EC-833B-ED03E7BFB31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051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052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385</xdr:row>
      <xdr:rowOff>76200</xdr:rowOff>
    </xdr:from>
    <xdr:to>
      <xdr:col>18</xdr:col>
      <xdr:colOff>1400175</xdr:colOff>
      <xdr:row>385</xdr:row>
      <xdr:rowOff>257175</xdr:rowOff>
    </xdr:to>
    <xdr:grpSp>
      <xdr:nvGrpSpPr>
        <xdr:cNvPr id="4053" name="Group 1"/>
        <xdr:cNvGrpSpPr>
          <a:grpSpLocks/>
        </xdr:cNvGrpSpPr>
      </xdr:nvGrpSpPr>
      <xdr:grpSpPr bwMode="auto">
        <a:xfrm>
          <a:off x="6591300" y="145846800"/>
          <a:ext cx="876300" cy="180975"/>
          <a:chOff x="594" y="27"/>
          <a:chExt cx="92" cy="19"/>
        </a:xfrm>
      </xdr:grpSpPr>
      <xdr:sp macro="" textlink="">
        <xdr:nvSpPr>
          <xdr:cNvPr id="4054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86">
        <xdr:nvSpPr>
          <xdr:cNvPr id="4055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A114552-501E-4C4A-AE9D-AB1FCCB145A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386</xdr:row>
      <xdr:rowOff>57150</xdr:rowOff>
    </xdr:from>
    <xdr:to>
      <xdr:col>18</xdr:col>
      <xdr:colOff>1905000</xdr:colOff>
      <xdr:row>386</xdr:row>
      <xdr:rowOff>647700</xdr:rowOff>
    </xdr:to>
    <xdr:grpSp>
      <xdr:nvGrpSpPr>
        <xdr:cNvPr id="4061" name="Group 2968"/>
        <xdr:cNvGrpSpPr>
          <a:grpSpLocks/>
        </xdr:cNvGrpSpPr>
      </xdr:nvGrpSpPr>
      <xdr:grpSpPr bwMode="auto">
        <a:xfrm>
          <a:off x="6124575" y="146161125"/>
          <a:ext cx="1847850" cy="276225"/>
          <a:chOff x="543" y="12509"/>
          <a:chExt cx="194" cy="62"/>
        </a:xfrm>
      </xdr:grpSpPr>
      <xdr:sp macro="" textlink="">
        <xdr:nvSpPr>
          <xdr:cNvPr id="4062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87">
        <xdr:nvSpPr>
          <xdr:cNvPr id="4063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5F8FB65-CCA9-416F-A024-B7D6A8D1CFC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387">
        <xdr:nvSpPr>
          <xdr:cNvPr id="4064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E4CBA94-1CBB-4F64-A0DC-0677DA411E5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387">
        <xdr:nvSpPr>
          <xdr:cNvPr id="4065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FCABCC6-E2D8-4495-97D9-0035B2D322C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1825</a:t>
            </a:fld>
            <a:endParaRPr lang="en-US"/>
          </a:p>
        </xdr:txBody>
      </xdr:sp>
      <xdr:sp macro="" textlink="L387">
        <xdr:nvSpPr>
          <xdr:cNvPr id="4066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F1708E3-E892-4192-87A0-D26ACF984F8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387">
        <xdr:nvSpPr>
          <xdr:cNvPr id="4081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8F35B86-BF49-490A-B9A2-3C5E1DB113A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4082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083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084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387">
        <xdr:nvSpPr>
          <xdr:cNvPr id="4094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E0F39A0-07F1-4FD7-977A-7F65C15C4B7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387</xdr:row>
      <xdr:rowOff>47625</xdr:rowOff>
    </xdr:from>
    <xdr:to>
      <xdr:col>18</xdr:col>
      <xdr:colOff>1933575</xdr:colOff>
      <xdr:row>387</xdr:row>
      <xdr:rowOff>285750</xdr:rowOff>
    </xdr:to>
    <xdr:grpSp>
      <xdr:nvGrpSpPr>
        <xdr:cNvPr id="4095" name="Group 3094"/>
        <xdr:cNvGrpSpPr>
          <a:grpSpLocks/>
        </xdr:cNvGrpSpPr>
      </xdr:nvGrpSpPr>
      <xdr:grpSpPr bwMode="auto">
        <a:xfrm>
          <a:off x="6124575" y="146484975"/>
          <a:ext cx="1876425" cy="238125"/>
          <a:chOff x="626" y="613"/>
          <a:chExt cx="197" cy="25"/>
        </a:xfrm>
      </xdr:grpSpPr>
      <xdr:sp macro="" textlink="I388">
        <xdr:nvSpPr>
          <xdr:cNvPr id="4096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94DA8DD-1A33-4EE8-9350-2ADBEDD8DA6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88">
        <xdr:nvSpPr>
          <xdr:cNvPr id="4100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9CA9941-040A-43C2-B0F1-E6B41FB9B8F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88">
        <xdr:nvSpPr>
          <xdr:cNvPr id="4101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F98469A-B87C-4059-9522-A3179F52A85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3650</a:t>
            </a:fld>
            <a:endParaRPr lang="en-US"/>
          </a:p>
        </xdr:txBody>
      </xdr:sp>
      <xdr:sp macro="" textlink="L388">
        <xdr:nvSpPr>
          <xdr:cNvPr id="4102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19AFA01-7DEB-49EF-9BAB-BC734F3BCF1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88">
        <xdr:nvSpPr>
          <xdr:cNvPr id="4106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7E1FB31-1ED8-4117-8B26-13029BF1578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107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108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388</xdr:row>
      <xdr:rowOff>47625</xdr:rowOff>
    </xdr:from>
    <xdr:to>
      <xdr:col>18</xdr:col>
      <xdr:colOff>1219200</xdr:colOff>
      <xdr:row>388</xdr:row>
      <xdr:rowOff>276225</xdr:rowOff>
    </xdr:to>
    <xdr:grpSp>
      <xdr:nvGrpSpPr>
        <xdr:cNvPr id="4113" name="Group 4"/>
        <xdr:cNvGrpSpPr>
          <a:grpSpLocks/>
        </xdr:cNvGrpSpPr>
      </xdr:nvGrpSpPr>
      <xdr:grpSpPr bwMode="auto">
        <a:xfrm>
          <a:off x="6124575" y="146818350"/>
          <a:ext cx="1162050" cy="228600"/>
          <a:chOff x="545" y="97"/>
          <a:chExt cx="122" cy="24"/>
        </a:xfrm>
      </xdr:grpSpPr>
      <xdr:sp macro="" textlink="">
        <xdr:nvSpPr>
          <xdr:cNvPr id="4114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89">
        <xdr:nvSpPr>
          <xdr:cNvPr id="4115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0770B4C-7B01-428C-B6BD-1A9312037F7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89">
        <xdr:nvSpPr>
          <xdr:cNvPr id="4116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DD8BF35-9104-4EA5-8D24-2A8C9CCB403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5200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389</xdr:row>
      <xdr:rowOff>47625</xdr:rowOff>
    </xdr:from>
    <xdr:to>
      <xdr:col>18</xdr:col>
      <xdr:colOff>1933575</xdr:colOff>
      <xdr:row>389</xdr:row>
      <xdr:rowOff>285750</xdr:rowOff>
    </xdr:to>
    <xdr:grpSp>
      <xdr:nvGrpSpPr>
        <xdr:cNvPr id="4117" name="Group 3094"/>
        <xdr:cNvGrpSpPr>
          <a:grpSpLocks/>
        </xdr:cNvGrpSpPr>
      </xdr:nvGrpSpPr>
      <xdr:grpSpPr bwMode="auto">
        <a:xfrm>
          <a:off x="6124575" y="147151725"/>
          <a:ext cx="1876425" cy="238125"/>
          <a:chOff x="626" y="613"/>
          <a:chExt cx="197" cy="25"/>
        </a:xfrm>
      </xdr:grpSpPr>
      <xdr:sp macro="" textlink="I390">
        <xdr:nvSpPr>
          <xdr:cNvPr id="411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500DA2B-048F-42FE-B3FE-859BE35C957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90">
        <xdr:nvSpPr>
          <xdr:cNvPr id="4119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A8F02B1-EB39-41D0-AD8F-04997CB034A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90">
        <xdr:nvSpPr>
          <xdr:cNvPr id="4120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8CEC02D-3671-48B3-8C98-E81D2D812A9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8775</a:t>
            </a:fld>
            <a:endParaRPr lang="en-US"/>
          </a:p>
        </xdr:txBody>
      </xdr:sp>
      <xdr:sp macro="" textlink="L390">
        <xdr:nvSpPr>
          <xdr:cNvPr id="4121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162537E-5CAA-4B13-AA29-03D62973DE0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90">
        <xdr:nvSpPr>
          <xdr:cNvPr id="412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8BC75E2-933E-42AA-9BC3-12897EBA0F9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12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12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390</xdr:row>
      <xdr:rowOff>28575</xdr:rowOff>
    </xdr:from>
    <xdr:to>
      <xdr:col>18</xdr:col>
      <xdr:colOff>1724025</xdr:colOff>
      <xdr:row>390</xdr:row>
      <xdr:rowOff>295275</xdr:rowOff>
    </xdr:to>
    <xdr:grpSp>
      <xdr:nvGrpSpPr>
        <xdr:cNvPr id="4131" name="Group 3050"/>
        <xdr:cNvGrpSpPr>
          <a:grpSpLocks/>
        </xdr:cNvGrpSpPr>
      </xdr:nvGrpSpPr>
      <xdr:grpSpPr bwMode="auto">
        <a:xfrm>
          <a:off x="6124575" y="147466050"/>
          <a:ext cx="1666875" cy="266700"/>
          <a:chOff x="589" y="376"/>
          <a:chExt cx="175" cy="28"/>
        </a:xfrm>
      </xdr:grpSpPr>
      <xdr:sp macro="" textlink="I391">
        <xdr:nvSpPr>
          <xdr:cNvPr id="4132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A35E0BA-DCAC-4BF5-ACAE-84E4FF145DA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91">
        <xdr:nvSpPr>
          <xdr:cNvPr id="4133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DAA450C-C917-493D-A7D8-5707752078A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91">
        <xdr:nvSpPr>
          <xdr:cNvPr id="4134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8DE4A54-DE48-4658-8105-26C9FC635A1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4135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136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391</xdr:row>
      <xdr:rowOff>47625</xdr:rowOff>
    </xdr:from>
    <xdr:to>
      <xdr:col>18</xdr:col>
      <xdr:colOff>1933575</xdr:colOff>
      <xdr:row>391</xdr:row>
      <xdr:rowOff>285750</xdr:rowOff>
    </xdr:to>
    <xdr:grpSp>
      <xdr:nvGrpSpPr>
        <xdr:cNvPr id="4137" name="Group 3094"/>
        <xdr:cNvGrpSpPr>
          <a:grpSpLocks/>
        </xdr:cNvGrpSpPr>
      </xdr:nvGrpSpPr>
      <xdr:grpSpPr bwMode="auto">
        <a:xfrm>
          <a:off x="6124575" y="148180425"/>
          <a:ext cx="1876425" cy="238125"/>
          <a:chOff x="626" y="613"/>
          <a:chExt cx="197" cy="25"/>
        </a:xfrm>
      </xdr:grpSpPr>
      <xdr:sp macro="" textlink="I392">
        <xdr:nvSpPr>
          <xdr:cNvPr id="413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8DF245C-C2A2-4010-9655-55F5BA21A36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92">
        <xdr:nvSpPr>
          <xdr:cNvPr id="4139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53857DC-3675-4497-AA60-7719003EF5F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92">
        <xdr:nvSpPr>
          <xdr:cNvPr id="4140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9CADCA4-8D8B-4B87-9032-1171836EAFC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4300</a:t>
            </a:fld>
            <a:endParaRPr lang="en-US"/>
          </a:p>
        </xdr:txBody>
      </xdr:sp>
      <xdr:sp macro="" textlink="L392">
        <xdr:nvSpPr>
          <xdr:cNvPr id="4141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A563B0E-1866-47F3-A164-9646E0B379B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92">
        <xdr:nvSpPr>
          <xdr:cNvPr id="414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990C55F-8B8F-40FD-864F-8CD5F701DA8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14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14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392</xdr:row>
      <xdr:rowOff>76200</xdr:rowOff>
    </xdr:from>
    <xdr:to>
      <xdr:col>18</xdr:col>
      <xdr:colOff>1400175</xdr:colOff>
      <xdr:row>392</xdr:row>
      <xdr:rowOff>257175</xdr:rowOff>
    </xdr:to>
    <xdr:grpSp>
      <xdr:nvGrpSpPr>
        <xdr:cNvPr id="4148" name="Group 1"/>
        <xdr:cNvGrpSpPr>
          <a:grpSpLocks/>
        </xdr:cNvGrpSpPr>
      </xdr:nvGrpSpPr>
      <xdr:grpSpPr bwMode="auto">
        <a:xfrm>
          <a:off x="6591300" y="148542375"/>
          <a:ext cx="876300" cy="180975"/>
          <a:chOff x="594" y="27"/>
          <a:chExt cx="92" cy="19"/>
        </a:xfrm>
      </xdr:grpSpPr>
      <xdr:sp macro="" textlink="">
        <xdr:nvSpPr>
          <xdr:cNvPr id="4149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93">
        <xdr:nvSpPr>
          <xdr:cNvPr id="4150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B65B8C1-AF5C-41E0-80C2-F398D2CE3EA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2500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393</xdr:row>
      <xdr:rowOff>47625</xdr:rowOff>
    </xdr:from>
    <xdr:to>
      <xdr:col>18</xdr:col>
      <xdr:colOff>1933575</xdr:colOff>
      <xdr:row>393</xdr:row>
      <xdr:rowOff>285750</xdr:rowOff>
    </xdr:to>
    <xdr:grpSp>
      <xdr:nvGrpSpPr>
        <xdr:cNvPr id="4151" name="Group 3094"/>
        <xdr:cNvGrpSpPr>
          <a:grpSpLocks/>
        </xdr:cNvGrpSpPr>
      </xdr:nvGrpSpPr>
      <xdr:grpSpPr bwMode="auto">
        <a:xfrm>
          <a:off x="6124575" y="148847175"/>
          <a:ext cx="1876425" cy="238125"/>
          <a:chOff x="626" y="613"/>
          <a:chExt cx="197" cy="25"/>
        </a:xfrm>
      </xdr:grpSpPr>
      <xdr:sp macro="" textlink="I394">
        <xdr:nvSpPr>
          <xdr:cNvPr id="4152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A9D0A73-71A5-48D2-922C-C6363F4442B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94">
        <xdr:nvSpPr>
          <xdr:cNvPr id="4153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3B76CFA-426A-4E5F-8AE6-F975A527DD1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94">
        <xdr:nvSpPr>
          <xdr:cNvPr id="4154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A99BABF-E874-4976-961A-369C94F83CB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5975</a:t>
            </a:fld>
            <a:endParaRPr lang="en-US"/>
          </a:p>
        </xdr:txBody>
      </xdr:sp>
      <xdr:sp macro="" textlink="L394">
        <xdr:nvSpPr>
          <xdr:cNvPr id="4155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F452D5F-2FC3-4C1A-9D0D-1CC1501C336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94">
        <xdr:nvSpPr>
          <xdr:cNvPr id="4156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AFA9D13-E887-479E-9527-4DEB04C027E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157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158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394</xdr:row>
      <xdr:rowOff>47625</xdr:rowOff>
    </xdr:from>
    <xdr:to>
      <xdr:col>18</xdr:col>
      <xdr:colOff>1219200</xdr:colOff>
      <xdr:row>394</xdr:row>
      <xdr:rowOff>276225</xdr:rowOff>
    </xdr:to>
    <xdr:grpSp>
      <xdr:nvGrpSpPr>
        <xdr:cNvPr id="4159" name="Group 4"/>
        <xdr:cNvGrpSpPr>
          <a:grpSpLocks/>
        </xdr:cNvGrpSpPr>
      </xdr:nvGrpSpPr>
      <xdr:grpSpPr bwMode="auto">
        <a:xfrm>
          <a:off x="6124575" y="149180550"/>
          <a:ext cx="1162050" cy="228600"/>
          <a:chOff x="545" y="97"/>
          <a:chExt cx="122" cy="24"/>
        </a:xfrm>
      </xdr:grpSpPr>
      <xdr:sp macro="" textlink="">
        <xdr:nvSpPr>
          <xdr:cNvPr id="4160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95">
        <xdr:nvSpPr>
          <xdr:cNvPr id="4161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BFFD0BF-23D5-44F9-83A8-4DA0EA1F9F4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395">
        <xdr:nvSpPr>
          <xdr:cNvPr id="4162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528FF3C-9690-4237-9313-B61BBCD8096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5800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395</xdr:row>
      <xdr:rowOff>47625</xdr:rowOff>
    </xdr:from>
    <xdr:to>
      <xdr:col>18</xdr:col>
      <xdr:colOff>1933575</xdr:colOff>
      <xdr:row>395</xdr:row>
      <xdr:rowOff>285750</xdr:rowOff>
    </xdr:to>
    <xdr:grpSp>
      <xdr:nvGrpSpPr>
        <xdr:cNvPr id="4163" name="Group 3094"/>
        <xdr:cNvGrpSpPr>
          <a:grpSpLocks/>
        </xdr:cNvGrpSpPr>
      </xdr:nvGrpSpPr>
      <xdr:grpSpPr bwMode="auto">
        <a:xfrm>
          <a:off x="6124575" y="149513925"/>
          <a:ext cx="1876425" cy="238125"/>
          <a:chOff x="626" y="613"/>
          <a:chExt cx="197" cy="25"/>
        </a:xfrm>
      </xdr:grpSpPr>
      <xdr:sp macro="" textlink="I396">
        <xdr:nvSpPr>
          <xdr:cNvPr id="4164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6343A94-A316-4FC1-B8DD-29FFF89D0C0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96">
        <xdr:nvSpPr>
          <xdr:cNvPr id="4165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9E58760-1964-499E-95E9-52C92683B2D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96">
        <xdr:nvSpPr>
          <xdr:cNvPr id="4166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E6CDDE2-39CF-4A33-A6EC-384E419BCE7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7575</a:t>
            </a:fld>
            <a:endParaRPr lang="en-US"/>
          </a:p>
        </xdr:txBody>
      </xdr:sp>
      <xdr:sp macro="" textlink="L396">
        <xdr:nvSpPr>
          <xdr:cNvPr id="4167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375880D-3E50-4F37-B38B-B5CC90106C9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96">
        <xdr:nvSpPr>
          <xdr:cNvPr id="4168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2B53801-7266-4959-8AFC-48DA3C57A93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169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170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396</xdr:row>
      <xdr:rowOff>47625</xdr:rowOff>
    </xdr:from>
    <xdr:to>
      <xdr:col>18</xdr:col>
      <xdr:colOff>1933575</xdr:colOff>
      <xdr:row>396</xdr:row>
      <xdr:rowOff>285750</xdr:rowOff>
    </xdr:to>
    <xdr:grpSp>
      <xdr:nvGrpSpPr>
        <xdr:cNvPr id="4171" name="Group 3094"/>
        <xdr:cNvGrpSpPr>
          <a:grpSpLocks/>
        </xdr:cNvGrpSpPr>
      </xdr:nvGrpSpPr>
      <xdr:grpSpPr bwMode="auto">
        <a:xfrm>
          <a:off x="6124575" y="149847300"/>
          <a:ext cx="1876425" cy="238125"/>
          <a:chOff x="626" y="613"/>
          <a:chExt cx="197" cy="25"/>
        </a:xfrm>
      </xdr:grpSpPr>
      <xdr:sp macro="" textlink="I397">
        <xdr:nvSpPr>
          <xdr:cNvPr id="4172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6898297-7F0F-4E3A-95BB-AEACF085A34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397">
        <xdr:nvSpPr>
          <xdr:cNvPr id="4173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D59BBAB-A9F9-421C-BDEE-E9517033F7D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97">
        <xdr:nvSpPr>
          <xdr:cNvPr id="4174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144B471-0CD1-4E8D-A03A-7FDBB4CC509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4300</a:t>
            </a:fld>
            <a:endParaRPr lang="en-US"/>
          </a:p>
        </xdr:txBody>
      </xdr:sp>
      <xdr:sp macro="" textlink="L397">
        <xdr:nvSpPr>
          <xdr:cNvPr id="4175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4073287-5972-4E3E-9FC9-40699BE5F96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397">
        <xdr:nvSpPr>
          <xdr:cNvPr id="4176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FD5B8018-F54A-4315-B857-A03919F02E7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177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178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397</xdr:row>
      <xdr:rowOff>76200</xdr:rowOff>
    </xdr:from>
    <xdr:to>
      <xdr:col>18</xdr:col>
      <xdr:colOff>1400175</xdr:colOff>
      <xdr:row>397</xdr:row>
      <xdr:rowOff>257175</xdr:rowOff>
    </xdr:to>
    <xdr:grpSp>
      <xdr:nvGrpSpPr>
        <xdr:cNvPr id="4179" name="Group 1"/>
        <xdr:cNvGrpSpPr>
          <a:grpSpLocks/>
        </xdr:cNvGrpSpPr>
      </xdr:nvGrpSpPr>
      <xdr:grpSpPr bwMode="auto">
        <a:xfrm>
          <a:off x="6591300" y="150209250"/>
          <a:ext cx="876300" cy="180975"/>
          <a:chOff x="594" y="27"/>
          <a:chExt cx="92" cy="19"/>
        </a:xfrm>
      </xdr:grpSpPr>
      <xdr:sp macro="" textlink="">
        <xdr:nvSpPr>
          <xdr:cNvPr id="4180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398">
        <xdr:nvSpPr>
          <xdr:cNvPr id="4181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BDD3454-1E08-4254-85F9-6BD81584A67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2500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398</xdr:row>
      <xdr:rowOff>57150</xdr:rowOff>
    </xdr:from>
    <xdr:to>
      <xdr:col>18</xdr:col>
      <xdr:colOff>1905000</xdr:colOff>
      <xdr:row>398</xdr:row>
      <xdr:rowOff>647700</xdr:rowOff>
    </xdr:to>
    <xdr:grpSp>
      <xdr:nvGrpSpPr>
        <xdr:cNvPr id="4182" name="Group 2968"/>
        <xdr:cNvGrpSpPr>
          <a:grpSpLocks/>
        </xdr:cNvGrpSpPr>
      </xdr:nvGrpSpPr>
      <xdr:grpSpPr bwMode="auto">
        <a:xfrm>
          <a:off x="6124575" y="150523575"/>
          <a:ext cx="1847850" cy="276225"/>
          <a:chOff x="543" y="12509"/>
          <a:chExt cx="194" cy="62"/>
        </a:xfrm>
      </xdr:grpSpPr>
      <xdr:sp macro="" textlink="">
        <xdr:nvSpPr>
          <xdr:cNvPr id="4183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399">
        <xdr:nvSpPr>
          <xdr:cNvPr id="4184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CEFB8D3-F44C-48F4-86B3-681FE814769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399">
        <xdr:nvSpPr>
          <xdr:cNvPr id="4185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FCAE6BF-12DB-45A3-BEAA-A42DDA52049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399">
        <xdr:nvSpPr>
          <xdr:cNvPr id="4186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90658B8-6554-4E9B-A3A7-828A3C64D65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3255</a:t>
            </a:fld>
            <a:endParaRPr lang="en-US"/>
          </a:p>
        </xdr:txBody>
      </xdr:sp>
      <xdr:sp macro="" textlink="L399">
        <xdr:nvSpPr>
          <xdr:cNvPr id="4187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3AF8FB9-FBA2-43EB-85DD-654D4E2CCFF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399">
        <xdr:nvSpPr>
          <xdr:cNvPr id="4188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3CBF366-DE8A-4208-8C91-EBFC214C2BD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4189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190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191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399">
        <xdr:nvSpPr>
          <xdr:cNvPr id="4192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43D876D-8DC8-4BEA-B754-73ACA3381D7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399</xdr:row>
      <xdr:rowOff>76200</xdr:rowOff>
    </xdr:from>
    <xdr:to>
      <xdr:col>18</xdr:col>
      <xdr:colOff>1400175</xdr:colOff>
      <xdr:row>399</xdr:row>
      <xdr:rowOff>257175</xdr:rowOff>
    </xdr:to>
    <xdr:grpSp>
      <xdr:nvGrpSpPr>
        <xdr:cNvPr id="4196" name="Group 1"/>
        <xdr:cNvGrpSpPr>
          <a:grpSpLocks/>
        </xdr:cNvGrpSpPr>
      </xdr:nvGrpSpPr>
      <xdr:grpSpPr bwMode="auto">
        <a:xfrm>
          <a:off x="6591300" y="150876000"/>
          <a:ext cx="876300" cy="180975"/>
          <a:chOff x="594" y="27"/>
          <a:chExt cx="92" cy="19"/>
        </a:xfrm>
      </xdr:grpSpPr>
      <xdr:sp macro="" textlink="">
        <xdr:nvSpPr>
          <xdr:cNvPr id="4197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400">
        <xdr:nvSpPr>
          <xdr:cNvPr id="4198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5DB5062-8C1A-435C-8456-64CAE6DF5EE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2000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400</xdr:row>
      <xdr:rowOff>47625</xdr:rowOff>
    </xdr:from>
    <xdr:to>
      <xdr:col>18</xdr:col>
      <xdr:colOff>1933575</xdr:colOff>
      <xdr:row>400</xdr:row>
      <xdr:rowOff>285750</xdr:rowOff>
    </xdr:to>
    <xdr:grpSp>
      <xdr:nvGrpSpPr>
        <xdr:cNvPr id="4199" name="Group 3094"/>
        <xdr:cNvGrpSpPr>
          <a:grpSpLocks/>
        </xdr:cNvGrpSpPr>
      </xdr:nvGrpSpPr>
      <xdr:grpSpPr bwMode="auto">
        <a:xfrm>
          <a:off x="6124575" y="151542750"/>
          <a:ext cx="1876425" cy="238125"/>
          <a:chOff x="626" y="613"/>
          <a:chExt cx="197" cy="25"/>
        </a:xfrm>
      </xdr:grpSpPr>
      <xdr:sp macro="" textlink="I401">
        <xdr:nvSpPr>
          <xdr:cNvPr id="4200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1D6460C-6A26-4BA6-B4DF-7DFD9904D41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401">
        <xdr:nvSpPr>
          <xdr:cNvPr id="4201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4B875A9-A527-4D05-8E63-236F2ACFE6C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01">
        <xdr:nvSpPr>
          <xdr:cNvPr id="4202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3CF7CAA-C074-4336-91C6-AC7E29BB741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3750</a:t>
            </a:fld>
            <a:endParaRPr lang="en-US"/>
          </a:p>
        </xdr:txBody>
      </xdr:sp>
      <xdr:sp macro="" textlink="L401">
        <xdr:nvSpPr>
          <xdr:cNvPr id="4203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72AA585-FCB6-4931-943C-F99884846C8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01">
        <xdr:nvSpPr>
          <xdr:cNvPr id="4204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195E824-DCA9-43AE-92F4-EC828280F45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205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206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401</xdr:row>
      <xdr:rowOff>47625</xdr:rowOff>
    </xdr:from>
    <xdr:to>
      <xdr:col>18</xdr:col>
      <xdr:colOff>1219200</xdr:colOff>
      <xdr:row>401</xdr:row>
      <xdr:rowOff>276225</xdr:rowOff>
    </xdr:to>
    <xdr:grpSp>
      <xdr:nvGrpSpPr>
        <xdr:cNvPr id="4211" name="Group 4"/>
        <xdr:cNvGrpSpPr>
          <a:grpSpLocks/>
        </xdr:cNvGrpSpPr>
      </xdr:nvGrpSpPr>
      <xdr:grpSpPr bwMode="auto">
        <a:xfrm>
          <a:off x="6124575" y="151876125"/>
          <a:ext cx="1162050" cy="228600"/>
          <a:chOff x="545" y="97"/>
          <a:chExt cx="122" cy="24"/>
        </a:xfrm>
      </xdr:grpSpPr>
      <xdr:sp macro="" textlink="">
        <xdr:nvSpPr>
          <xdr:cNvPr id="4212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402">
        <xdr:nvSpPr>
          <xdr:cNvPr id="4213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A158167-E5ED-4B3D-98B9-E22395852B7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402">
        <xdr:nvSpPr>
          <xdr:cNvPr id="4214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DCC2D48-342D-4F6F-B2C2-FF6BBA237F6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5800</a:t>
            </a:fld>
            <a:endParaRPr lang="en-US"/>
          </a:p>
        </xdr:txBody>
      </xdr:sp>
    </xdr:grpSp>
    <xdr:clientData/>
  </xdr:twoCellAnchor>
  <xdr:twoCellAnchor>
    <xdr:from>
      <xdr:col>18</xdr:col>
      <xdr:colOff>47625</xdr:colOff>
      <xdr:row>402</xdr:row>
      <xdr:rowOff>19050</xdr:rowOff>
    </xdr:from>
    <xdr:to>
      <xdr:col>18</xdr:col>
      <xdr:colOff>1905000</xdr:colOff>
      <xdr:row>402</xdr:row>
      <xdr:rowOff>304800</xdr:rowOff>
    </xdr:to>
    <xdr:grpSp>
      <xdr:nvGrpSpPr>
        <xdr:cNvPr id="4215" name="Group 3092"/>
        <xdr:cNvGrpSpPr>
          <a:grpSpLocks/>
        </xdr:cNvGrpSpPr>
      </xdr:nvGrpSpPr>
      <xdr:grpSpPr bwMode="auto">
        <a:xfrm>
          <a:off x="6115050" y="152180925"/>
          <a:ext cx="1857375" cy="285750"/>
          <a:chOff x="606" y="2035"/>
          <a:chExt cx="195" cy="30"/>
        </a:xfrm>
      </xdr:grpSpPr>
      <xdr:sp macro="" textlink="I403">
        <xdr:nvSpPr>
          <xdr:cNvPr id="4216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8DEBFCC-4689-486D-9651-4F573914315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403">
        <xdr:nvSpPr>
          <xdr:cNvPr id="4217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C5701D3-7570-4228-B8E9-7BCB93E1DCB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03">
        <xdr:nvSpPr>
          <xdr:cNvPr id="4218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D8425E8-FC58-419F-930D-97F29DEF93E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3225</a:t>
            </a:fld>
            <a:endParaRPr lang="en-US"/>
          </a:p>
        </xdr:txBody>
      </xdr:sp>
      <xdr:sp macro="" textlink="">
        <xdr:nvSpPr>
          <xdr:cNvPr id="4219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403">
        <xdr:nvSpPr>
          <xdr:cNvPr id="4220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625859B-E253-4235-8D99-5B0C43980CF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4221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403</xdr:row>
      <xdr:rowOff>47625</xdr:rowOff>
    </xdr:from>
    <xdr:to>
      <xdr:col>18</xdr:col>
      <xdr:colOff>1933575</xdr:colOff>
      <xdr:row>403</xdr:row>
      <xdr:rowOff>285750</xdr:rowOff>
    </xdr:to>
    <xdr:grpSp>
      <xdr:nvGrpSpPr>
        <xdr:cNvPr id="4222" name="Group 3094"/>
        <xdr:cNvGrpSpPr>
          <a:grpSpLocks/>
        </xdr:cNvGrpSpPr>
      </xdr:nvGrpSpPr>
      <xdr:grpSpPr bwMode="auto">
        <a:xfrm>
          <a:off x="6124575" y="152542875"/>
          <a:ext cx="1876425" cy="238125"/>
          <a:chOff x="626" y="613"/>
          <a:chExt cx="197" cy="25"/>
        </a:xfrm>
      </xdr:grpSpPr>
      <xdr:sp macro="" textlink="I404">
        <xdr:nvSpPr>
          <xdr:cNvPr id="4223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BEDAAB9-CB04-49A5-B7A3-039F21D0A7A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404">
        <xdr:nvSpPr>
          <xdr:cNvPr id="4224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D5296B5-409E-4BB0-9CA6-343594B1766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04">
        <xdr:nvSpPr>
          <xdr:cNvPr id="4225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D7EF25B-949E-4C0F-BD54-3C1EC92E6A6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3750</a:t>
            </a:fld>
            <a:endParaRPr lang="en-US"/>
          </a:p>
        </xdr:txBody>
      </xdr:sp>
      <xdr:sp macro="" textlink="L404">
        <xdr:nvSpPr>
          <xdr:cNvPr id="4226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CD2146E-6F97-4A7D-8796-B28EB086020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04">
        <xdr:nvSpPr>
          <xdr:cNvPr id="4227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2149777-1D83-480B-99E7-E467435A34A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228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229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404</xdr:row>
      <xdr:rowOff>28575</xdr:rowOff>
    </xdr:from>
    <xdr:to>
      <xdr:col>18</xdr:col>
      <xdr:colOff>1724025</xdr:colOff>
      <xdr:row>404</xdr:row>
      <xdr:rowOff>295275</xdr:rowOff>
    </xdr:to>
    <xdr:grpSp>
      <xdr:nvGrpSpPr>
        <xdr:cNvPr id="4230" name="Group 3050"/>
        <xdr:cNvGrpSpPr>
          <a:grpSpLocks/>
        </xdr:cNvGrpSpPr>
      </xdr:nvGrpSpPr>
      <xdr:grpSpPr bwMode="auto">
        <a:xfrm>
          <a:off x="6124575" y="152857200"/>
          <a:ext cx="1666875" cy="266700"/>
          <a:chOff x="589" y="376"/>
          <a:chExt cx="175" cy="28"/>
        </a:xfrm>
      </xdr:grpSpPr>
      <xdr:sp macro="" textlink="I405">
        <xdr:nvSpPr>
          <xdr:cNvPr id="4231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1DEDEFD-42AF-4B9E-BF1B-8043EEB9768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405">
        <xdr:nvSpPr>
          <xdr:cNvPr id="4232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34E5720-3675-4C5A-8183-E368A7CC03C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05">
        <xdr:nvSpPr>
          <xdr:cNvPr id="4233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772E7EB-7DCF-4D00-9925-6C1BCC4B790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4234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235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405</xdr:row>
      <xdr:rowOff>47625</xdr:rowOff>
    </xdr:from>
    <xdr:to>
      <xdr:col>18</xdr:col>
      <xdr:colOff>1933575</xdr:colOff>
      <xdr:row>405</xdr:row>
      <xdr:rowOff>285750</xdr:rowOff>
    </xdr:to>
    <xdr:grpSp>
      <xdr:nvGrpSpPr>
        <xdr:cNvPr id="4236" name="Group 3094"/>
        <xdr:cNvGrpSpPr>
          <a:grpSpLocks/>
        </xdr:cNvGrpSpPr>
      </xdr:nvGrpSpPr>
      <xdr:grpSpPr bwMode="auto">
        <a:xfrm>
          <a:off x="6124575" y="153209625"/>
          <a:ext cx="1876425" cy="238125"/>
          <a:chOff x="626" y="613"/>
          <a:chExt cx="197" cy="25"/>
        </a:xfrm>
      </xdr:grpSpPr>
      <xdr:sp macro="" textlink="I406">
        <xdr:nvSpPr>
          <xdr:cNvPr id="4237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CF8A1EC-E9F9-4384-91F8-91836DCCAC9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406">
        <xdr:nvSpPr>
          <xdr:cNvPr id="4238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09F685C-F84F-4468-A2C3-C5CDC8B216B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06">
        <xdr:nvSpPr>
          <xdr:cNvPr id="4239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9F77FCA-336E-419B-AB4E-0375F2AF82E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1325</a:t>
            </a:fld>
            <a:endParaRPr lang="en-US"/>
          </a:p>
        </xdr:txBody>
      </xdr:sp>
      <xdr:sp macro="" textlink="L406">
        <xdr:nvSpPr>
          <xdr:cNvPr id="4240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1EDB5D4-D086-43DC-8034-DAB48DCB58F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06">
        <xdr:nvSpPr>
          <xdr:cNvPr id="4241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0F23BC4-C823-4809-9420-2CBFAC0717F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242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243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406</xdr:row>
      <xdr:rowOff>76200</xdr:rowOff>
    </xdr:from>
    <xdr:to>
      <xdr:col>18</xdr:col>
      <xdr:colOff>1400175</xdr:colOff>
      <xdr:row>406</xdr:row>
      <xdr:rowOff>257175</xdr:rowOff>
    </xdr:to>
    <xdr:grpSp>
      <xdr:nvGrpSpPr>
        <xdr:cNvPr id="4247" name="Group 1"/>
        <xdr:cNvGrpSpPr>
          <a:grpSpLocks/>
        </xdr:cNvGrpSpPr>
      </xdr:nvGrpSpPr>
      <xdr:grpSpPr bwMode="auto">
        <a:xfrm>
          <a:off x="6591300" y="153571575"/>
          <a:ext cx="876300" cy="180975"/>
          <a:chOff x="594" y="27"/>
          <a:chExt cx="92" cy="19"/>
        </a:xfrm>
      </xdr:grpSpPr>
      <xdr:sp macro="" textlink="">
        <xdr:nvSpPr>
          <xdr:cNvPr id="4248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407">
        <xdr:nvSpPr>
          <xdr:cNvPr id="4249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F50168B-93FB-42BF-96A1-C292D60136D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2900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407</xdr:row>
      <xdr:rowOff>57150</xdr:rowOff>
    </xdr:from>
    <xdr:to>
      <xdr:col>18</xdr:col>
      <xdr:colOff>1905000</xdr:colOff>
      <xdr:row>407</xdr:row>
      <xdr:rowOff>647700</xdr:rowOff>
    </xdr:to>
    <xdr:grpSp>
      <xdr:nvGrpSpPr>
        <xdr:cNvPr id="4250" name="Group 2968"/>
        <xdr:cNvGrpSpPr>
          <a:grpSpLocks/>
        </xdr:cNvGrpSpPr>
      </xdr:nvGrpSpPr>
      <xdr:grpSpPr bwMode="auto">
        <a:xfrm>
          <a:off x="6124575" y="153885900"/>
          <a:ext cx="1847850" cy="276225"/>
          <a:chOff x="543" y="12509"/>
          <a:chExt cx="194" cy="62"/>
        </a:xfrm>
      </xdr:grpSpPr>
      <xdr:sp macro="" textlink="">
        <xdr:nvSpPr>
          <xdr:cNvPr id="4251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408">
        <xdr:nvSpPr>
          <xdr:cNvPr id="4252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38A6CAB-FFC9-45F0-BCC4-A188BC3E7F8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408">
        <xdr:nvSpPr>
          <xdr:cNvPr id="4253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0034EC7-B6BC-42EF-8786-07673A2ECBC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408">
        <xdr:nvSpPr>
          <xdr:cNvPr id="4254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13FAA0D-14B0-45EB-BE35-8FA2D747DA4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3200</a:t>
            </a:fld>
            <a:endParaRPr lang="en-US"/>
          </a:p>
        </xdr:txBody>
      </xdr:sp>
      <xdr:sp macro="" textlink="L408">
        <xdr:nvSpPr>
          <xdr:cNvPr id="4255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A01476E-10B9-41BC-935E-1AF1100E04B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408">
        <xdr:nvSpPr>
          <xdr:cNvPr id="4256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8CAEF28-6902-40E9-8218-F41EEA3999D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4257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258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259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408">
        <xdr:nvSpPr>
          <xdr:cNvPr id="4260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2AB192C-97B1-4B5A-8D26-7B7D4854BF0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408</xdr:row>
      <xdr:rowOff>76200</xdr:rowOff>
    </xdr:from>
    <xdr:to>
      <xdr:col>18</xdr:col>
      <xdr:colOff>1400175</xdr:colOff>
      <xdr:row>408</xdr:row>
      <xdr:rowOff>257175</xdr:rowOff>
    </xdr:to>
    <xdr:grpSp>
      <xdr:nvGrpSpPr>
        <xdr:cNvPr id="4264" name="Group 1"/>
        <xdr:cNvGrpSpPr>
          <a:grpSpLocks/>
        </xdr:cNvGrpSpPr>
      </xdr:nvGrpSpPr>
      <xdr:grpSpPr bwMode="auto">
        <a:xfrm>
          <a:off x="6591300" y="154238325"/>
          <a:ext cx="876300" cy="180975"/>
          <a:chOff x="594" y="27"/>
          <a:chExt cx="92" cy="19"/>
        </a:xfrm>
      </xdr:grpSpPr>
      <xdr:sp macro="" textlink="">
        <xdr:nvSpPr>
          <xdr:cNvPr id="4265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409">
        <xdr:nvSpPr>
          <xdr:cNvPr id="4266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4E0D5A6-297C-47ED-BAEA-DD003F360C9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2900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409</xdr:row>
      <xdr:rowOff>47625</xdr:rowOff>
    </xdr:from>
    <xdr:to>
      <xdr:col>18</xdr:col>
      <xdr:colOff>1933575</xdr:colOff>
      <xdr:row>409</xdr:row>
      <xdr:rowOff>285750</xdr:rowOff>
    </xdr:to>
    <xdr:grpSp>
      <xdr:nvGrpSpPr>
        <xdr:cNvPr id="4267" name="Group 3094"/>
        <xdr:cNvGrpSpPr>
          <a:grpSpLocks/>
        </xdr:cNvGrpSpPr>
      </xdr:nvGrpSpPr>
      <xdr:grpSpPr bwMode="auto">
        <a:xfrm>
          <a:off x="6124575" y="154543125"/>
          <a:ext cx="1876425" cy="238125"/>
          <a:chOff x="626" y="613"/>
          <a:chExt cx="197" cy="25"/>
        </a:xfrm>
      </xdr:grpSpPr>
      <xdr:sp macro="" textlink="I410">
        <xdr:nvSpPr>
          <xdr:cNvPr id="426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E748B42-7004-402B-B966-081232A9CFE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410">
        <xdr:nvSpPr>
          <xdr:cNvPr id="4269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EF89AA1-A764-49E0-BA88-20D30E5594A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10">
        <xdr:nvSpPr>
          <xdr:cNvPr id="4270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4D11F8E-3539-4FC6-A5B5-A1EE1836EED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2450</a:t>
            </a:fld>
            <a:endParaRPr lang="en-US"/>
          </a:p>
        </xdr:txBody>
      </xdr:sp>
      <xdr:sp macro="" textlink="L410">
        <xdr:nvSpPr>
          <xdr:cNvPr id="4271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AA113EC-4555-48F4-9584-CEA10C53DAE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10">
        <xdr:nvSpPr>
          <xdr:cNvPr id="427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E633EFB-25DF-4896-AB77-3F0BD3BC6DF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27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27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410</xdr:row>
      <xdr:rowOff>47625</xdr:rowOff>
    </xdr:from>
    <xdr:to>
      <xdr:col>18</xdr:col>
      <xdr:colOff>1219200</xdr:colOff>
      <xdr:row>410</xdr:row>
      <xdr:rowOff>276225</xdr:rowOff>
    </xdr:to>
    <xdr:grpSp>
      <xdr:nvGrpSpPr>
        <xdr:cNvPr id="4279" name="Group 4"/>
        <xdr:cNvGrpSpPr>
          <a:grpSpLocks/>
        </xdr:cNvGrpSpPr>
      </xdr:nvGrpSpPr>
      <xdr:grpSpPr bwMode="auto">
        <a:xfrm>
          <a:off x="6124575" y="154876500"/>
          <a:ext cx="1162050" cy="228600"/>
          <a:chOff x="545" y="97"/>
          <a:chExt cx="122" cy="24"/>
        </a:xfrm>
      </xdr:grpSpPr>
      <xdr:sp macro="" textlink="">
        <xdr:nvSpPr>
          <xdr:cNvPr id="4280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411">
        <xdr:nvSpPr>
          <xdr:cNvPr id="4281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43ADC19-A827-4BD1-AF22-AAD41859672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411">
        <xdr:nvSpPr>
          <xdr:cNvPr id="4282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D4B1F00-292E-471A-9321-EA5D099C43A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</xdr:grpSp>
    <xdr:clientData/>
  </xdr:twoCellAnchor>
  <xdr:twoCellAnchor>
    <xdr:from>
      <xdr:col>18</xdr:col>
      <xdr:colOff>47625</xdr:colOff>
      <xdr:row>411</xdr:row>
      <xdr:rowOff>19050</xdr:rowOff>
    </xdr:from>
    <xdr:to>
      <xdr:col>18</xdr:col>
      <xdr:colOff>1905000</xdr:colOff>
      <xdr:row>411</xdr:row>
      <xdr:rowOff>304800</xdr:rowOff>
    </xdr:to>
    <xdr:grpSp>
      <xdr:nvGrpSpPr>
        <xdr:cNvPr id="4290" name="Group 3092"/>
        <xdr:cNvGrpSpPr>
          <a:grpSpLocks/>
        </xdr:cNvGrpSpPr>
      </xdr:nvGrpSpPr>
      <xdr:grpSpPr bwMode="auto">
        <a:xfrm>
          <a:off x="6115050" y="155181300"/>
          <a:ext cx="1857375" cy="285750"/>
          <a:chOff x="606" y="2035"/>
          <a:chExt cx="195" cy="30"/>
        </a:xfrm>
      </xdr:grpSpPr>
      <xdr:sp macro="" textlink="I412">
        <xdr:nvSpPr>
          <xdr:cNvPr id="4291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B3ECD87-25AC-44E1-8F10-34B675F417F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412">
        <xdr:nvSpPr>
          <xdr:cNvPr id="4292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B4EAD43-E026-44A7-B32B-2523CFF458D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12">
        <xdr:nvSpPr>
          <xdr:cNvPr id="4293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6DBB62D-1F40-4138-8CFB-AB30FBBA0A6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6400</a:t>
            </a:fld>
            <a:endParaRPr lang="en-US"/>
          </a:p>
        </xdr:txBody>
      </xdr:sp>
      <xdr:sp macro="" textlink="">
        <xdr:nvSpPr>
          <xdr:cNvPr id="4294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412">
        <xdr:nvSpPr>
          <xdr:cNvPr id="4295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9371C3F-7EDA-4A39-A8F6-57602CFAA41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4296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412</xdr:row>
      <xdr:rowOff>47625</xdr:rowOff>
    </xdr:from>
    <xdr:to>
      <xdr:col>18</xdr:col>
      <xdr:colOff>1219200</xdr:colOff>
      <xdr:row>412</xdr:row>
      <xdr:rowOff>276225</xdr:rowOff>
    </xdr:to>
    <xdr:grpSp>
      <xdr:nvGrpSpPr>
        <xdr:cNvPr id="4301" name="Group 4"/>
        <xdr:cNvGrpSpPr>
          <a:grpSpLocks/>
        </xdr:cNvGrpSpPr>
      </xdr:nvGrpSpPr>
      <xdr:grpSpPr bwMode="auto">
        <a:xfrm>
          <a:off x="6124575" y="155543250"/>
          <a:ext cx="1162050" cy="228600"/>
          <a:chOff x="545" y="97"/>
          <a:chExt cx="122" cy="24"/>
        </a:xfrm>
      </xdr:grpSpPr>
      <xdr:sp macro="" textlink="">
        <xdr:nvSpPr>
          <xdr:cNvPr id="4302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413">
        <xdr:nvSpPr>
          <xdr:cNvPr id="4303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FB82AE5-007B-42DC-8116-F5340785441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413">
        <xdr:nvSpPr>
          <xdr:cNvPr id="4304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77952F2-6DEA-4C4F-9D48-25EFD104E79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2625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425</xdr:row>
      <xdr:rowOff>28575</xdr:rowOff>
    </xdr:from>
    <xdr:to>
      <xdr:col>18</xdr:col>
      <xdr:colOff>1724025</xdr:colOff>
      <xdr:row>425</xdr:row>
      <xdr:rowOff>295275</xdr:rowOff>
    </xdr:to>
    <xdr:grpSp>
      <xdr:nvGrpSpPr>
        <xdr:cNvPr id="4525" name="Group 3050"/>
        <xdr:cNvGrpSpPr>
          <a:grpSpLocks/>
        </xdr:cNvGrpSpPr>
      </xdr:nvGrpSpPr>
      <xdr:grpSpPr bwMode="auto">
        <a:xfrm>
          <a:off x="6124575" y="159858075"/>
          <a:ext cx="1666875" cy="266700"/>
          <a:chOff x="589" y="376"/>
          <a:chExt cx="175" cy="28"/>
        </a:xfrm>
      </xdr:grpSpPr>
      <xdr:sp macro="" textlink="I306">
        <xdr:nvSpPr>
          <xdr:cNvPr id="4526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9FEC8AC-3BAF-443D-AB3C-69CD173BEE0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306">
        <xdr:nvSpPr>
          <xdr:cNvPr id="4527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8A3C5D6-07BB-4AA2-B84E-CED73D76E61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306">
        <xdr:nvSpPr>
          <xdr:cNvPr id="4528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FD68CAF-A838-4FB7-851D-392540B7FDE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4529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530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413</xdr:row>
      <xdr:rowOff>28575</xdr:rowOff>
    </xdr:from>
    <xdr:to>
      <xdr:col>18</xdr:col>
      <xdr:colOff>1724025</xdr:colOff>
      <xdr:row>413</xdr:row>
      <xdr:rowOff>295275</xdr:rowOff>
    </xdr:to>
    <xdr:grpSp>
      <xdr:nvGrpSpPr>
        <xdr:cNvPr id="4611" name="Group 3050"/>
        <xdr:cNvGrpSpPr>
          <a:grpSpLocks/>
        </xdr:cNvGrpSpPr>
      </xdr:nvGrpSpPr>
      <xdr:grpSpPr bwMode="auto">
        <a:xfrm>
          <a:off x="6124575" y="155857575"/>
          <a:ext cx="1666875" cy="266700"/>
          <a:chOff x="589" y="376"/>
          <a:chExt cx="175" cy="28"/>
        </a:xfrm>
      </xdr:grpSpPr>
      <xdr:sp macro="" textlink="I414">
        <xdr:nvSpPr>
          <xdr:cNvPr id="4612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80AEC43-7AFA-4A2B-8844-E28C317FF5F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414">
        <xdr:nvSpPr>
          <xdr:cNvPr id="4613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8F8D3C7-4A36-4D17-92EA-CD6ED6B86D5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14">
        <xdr:nvSpPr>
          <xdr:cNvPr id="4614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C399B99-3664-4243-992C-FA8679EEB23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4615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616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414</xdr:row>
      <xdr:rowOff>47625</xdr:rowOff>
    </xdr:from>
    <xdr:to>
      <xdr:col>18</xdr:col>
      <xdr:colOff>1933575</xdr:colOff>
      <xdr:row>414</xdr:row>
      <xdr:rowOff>285750</xdr:rowOff>
    </xdr:to>
    <xdr:grpSp>
      <xdr:nvGrpSpPr>
        <xdr:cNvPr id="4617" name="Group 3094"/>
        <xdr:cNvGrpSpPr>
          <a:grpSpLocks/>
        </xdr:cNvGrpSpPr>
      </xdr:nvGrpSpPr>
      <xdr:grpSpPr bwMode="auto">
        <a:xfrm>
          <a:off x="6124575" y="156210000"/>
          <a:ext cx="1876425" cy="238125"/>
          <a:chOff x="626" y="613"/>
          <a:chExt cx="197" cy="25"/>
        </a:xfrm>
      </xdr:grpSpPr>
      <xdr:sp macro="" textlink="I415">
        <xdr:nvSpPr>
          <xdr:cNvPr id="4618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2A30247-0538-40CB-B63E-6C3E349AE5C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415">
        <xdr:nvSpPr>
          <xdr:cNvPr id="4619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F5A2D3B-ACF0-4ABD-AD5C-4D5B48F6145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15">
        <xdr:nvSpPr>
          <xdr:cNvPr id="4620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41E8C5A-4412-40ED-AF55-5E09734E113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9125</a:t>
            </a:fld>
            <a:endParaRPr lang="en-US"/>
          </a:p>
        </xdr:txBody>
      </xdr:sp>
      <xdr:sp macro="" textlink="L415">
        <xdr:nvSpPr>
          <xdr:cNvPr id="4621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C1ACBAC-36BD-4E9D-8772-AC79000054B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15">
        <xdr:nvSpPr>
          <xdr:cNvPr id="4622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3831BB3-2B0F-40CB-8B82-B698E447B48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623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624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415</xdr:row>
      <xdr:rowOff>76200</xdr:rowOff>
    </xdr:from>
    <xdr:to>
      <xdr:col>18</xdr:col>
      <xdr:colOff>1400175</xdr:colOff>
      <xdr:row>415</xdr:row>
      <xdr:rowOff>257175</xdr:rowOff>
    </xdr:to>
    <xdr:grpSp>
      <xdr:nvGrpSpPr>
        <xdr:cNvPr id="4628" name="Group 1"/>
        <xdr:cNvGrpSpPr>
          <a:grpSpLocks/>
        </xdr:cNvGrpSpPr>
      </xdr:nvGrpSpPr>
      <xdr:grpSpPr bwMode="auto">
        <a:xfrm>
          <a:off x="6591300" y="156571950"/>
          <a:ext cx="876300" cy="180975"/>
          <a:chOff x="594" y="27"/>
          <a:chExt cx="92" cy="19"/>
        </a:xfrm>
      </xdr:grpSpPr>
      <xdr:sp macro="" textlink="">
        <xdr:nvSpPr>
          <xdr:cNvPr id="4629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416">
        <xdr:nvSpPr>
          <xdr:cNvPr id="4630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7F975B1-6AEF-4AD6-A4BC-E91435696D4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2200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416</xdr:row>
      <xdr:rowOff>57150</xdr:rowOff>
    </xdr:from>
    <xdr:to>
      <xdr:col>18</xdr:col>
      <xdr:colOff>1905000</xdr:colOff>
      <xdr:row>416</xdr:row>
      <xdr:rowOff>647700</xdr:rowOff>
    </xdr:to>
    <xdr:grpSp>
      <xdr:nvGrpSpPr>
        <xdr:cNvPr id="4631" name="Group 2968"/>
        <xdr:cNvGrpSpPr>
          <a:grpSpLocks/>
        </xdr:cNvGrpSpPr>
      </xdr:nvGrpSpPr>
      <xdr:grpSpPr bwMode="auto">
        <a:xfrm>
          <a:off x="6124575" y="156886275"/>
          <a:ext cx="1847850" cy="276225"/>
          <a:chOff x="543" y="12509"/>
          <a:chExt cx="194" cy="62"/>
        </a:xfrm>
      </xdr:grpSpPr>
      <xdr:sp macro="" textlink="">
        <xdr:nvSpPr>
          <xdr:cNvPr id="4632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417">
        <xdr:nvSpPr>
          <xdr:cNvPr id="4633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39295AE-2075-4A57-9E10-9BDB3B9B752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500</a:t>
            </a:fld>
            <a:endParaRPr lang="en-US"/>
          </a:p>
        </xdr:txBody>
      </xdr:sp>
      <xdr:sp macro="" textlink="J417">
        <xdr:nvSpPr>
          <xdr:cNvPr id="4634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0FBD52A-E600-4146-87D5-2D765C29DA0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  <xdr:sp macro="" textlink="K417">
        <xdr:nvSpPr>
          <xdr:cNvPr id="4635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3FF2786-9D8F-4B3B-80E4-E30B585B5EB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2025</a:t>
            </a:fld>
            <a:endParaRPr lang="en-US"/>
          </a:p>
        </xdr:txBody>
      </xdr:sp>
      <xdr:sp macro="" textlink="L417">
        <xdr:nvSpPr>
          <xdr:cNvPr id="4636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3978674-52DE-4325-8506-81605E37EEE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50</a:t>
            </a:fld>
            <a:endParaRPr lang="en-US"/>
          </a:p>
        </xdr:txBody>
      </xdr:sp>
      <xdr:sp macro="" textlink="M417">
        <xdr:nvSpPr>
          <xdr:cNvPr id="4637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50B50E3-9A79-4822-B42B-0381481637B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500</a:t>
            </a:fld>
            <a:endParaRPr lang="en-US"/>
          </a:p>
        </xdr:txBody>
      </xdr:sp>
      <xdr:sp macro="" textlink="">
        <xdr:nvSpPr>
          <xdr:cNvPr id="4638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639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640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417">
        <xdr:nvSpPr>
          <xdr:cNvPr id="4641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28126A4-AF95-47DB-B648-3032D03ED20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417</xdr:row>
      <xdr:rowOff>47625</xdr:rowOff>
    </xdr:from>
    <xdr:to>
      <xdr:col>18</xdr:col>
      <xdr:colOff>1933575</xdr:colOff>
      <xdr:row>417</xdr:row>
      <xdr:rowOff>285750</xdr:rowOff>
    </xdr:to>
    <xdr:grpSp>
      <xdr:nvGrpSpPr>
        <xdr:cNvPr id="4642" name="Group 3094"/>
        <xdr:cNvGrpSpPr>
          <a:grpSpLocks/>
        </xdr:cNvGrpSpPr>
      </xdr:nvGrpSpPr>
      <xdr:grpSpPr bwMode="auto">
        <a:xfrm>
          <a:off x="6124575" y="157210125"/>
          <a:ext cx="1876425" cy="238125"/>
          <a:chOff x="626" y="613"/>
          <a:chExt cx="197" cy="25"/>
        </a:xfrm>
      </xdr:grpSpPr>
      <xdr:sp macro="" textlink="I418">
        <xdr:nvSpPr>
          <xdr:cNvPr id="4643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F1A5A2D-0AE1-451D-BE8B-FBDED50C60A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418">
        <xdr:nvSpPr>
          <xdr:cNvPr id="4644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3F85159-E2FC-4D78-B699-F91CD5DA5E2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18">
        <xdr:nvSpPr>
          <xdr:cNvPr id="4645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BD0A925-8977-41B8-B862-3EFA195352B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2175</a:t>
            </a:fld>
            <a:endParaRPr lang="en-US"/>
          </a:p>
        </xdr:txBody>
      </xdr:sp>
      <xdr:sp macro="" textlink="L418">
        <xdr:nvSpPr>
          <xdr:cNvPr id="4646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4EDAEBA-9251-486E-B9B9-E8CECD572DC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18">
        <xdr:nvSpPr>
          <xdr:cNvPr id="4647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C7714FB-5BF0-46C9-A924-C4DFB256D1E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648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649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418</xdr:row>
      <xdr:rowOff>47625</xdr:rowOff>
    </xdr:from>
    <xdr:to>
      <xdr:col>18</xdr:col>
      <xdr:colOff>1933575</xdr:colOff>
      <xdr:row>418</xdr:row>
      <xdr:rowOff>285750</xdr:rowOff>
    </xdr:to>
    <xdr:grpSp>
      <xdr:nvGrpSpPr>
        <xdr:cNvPr id="4650" name="Group 3094"/>
        <xdr:cNvGrpSpPr>
          <a:grpSpLocks/>
        </xdr:cNvGrpSpPr>
      </xdr:nvGrpSpPr>
      <xdr:grpSpPr bwMode="auto">
        <a:xfrm>
          <a:off x="6124575" y="157543500"/>
          <a:ext cx="1876425" cy="238125"/>
          <a:chOff x="626" y="613"/>
          <a:chExt cx="197" cy="25"/>
        </a:xfrm>
      </xdr:grpSpPr>
      <xdr:sp macro="" textlink="I419">
        <xdr:nvSpPr>
          <xdr:cNvPr id="4651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573EC86-A8BA-4D48-89B2-0355D633BC4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419">
        <xdr:nvSpPr>
          <xdr:cNvPr id="4652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5C0E50F-7545-476F-8EAA-170B20BB524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19">
        <xdr:nvSpPr>
          <xdr:cNvPr id="4653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3775BF0-61B7-4B89-923D-AB48EADDD3F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10125</a:t>
            </a:fld>
            <a:endParaRPr lang="en-US"/>
          </a:p>
        </xdr:txBody>
      </xdr:sp>
      <xdr:sp macro="" textlink="L419">
        <xdr:nvSpPr>
          <xdr:cNvPr id="4654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0FED4B1-B13F-417E-A86E-ADAE1CDF277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19">
        <xdr:nvSpPr>
          <xdr:cNvPr id="4655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F16B950C-7ED7-42EB-A9DE-60BED985D38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656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657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419</xdr:row>
      <xdr:rowOff>76200</xdr:rowOff>
    </xdr:from>
    <xdr:to>
      <xdr:col>18</xdr:col>
      <xdr:colOff>1400175</xdr:colOff>
      <xdr:row>419</xdr:row>
      <xdr:rowOff>257175</xdr:rowOff>
    </xdr:to>
    <xdr:grpSp>
      <xdr:nvGrpSpPr>
        <xdr:cNvPr id="4658" name="Group 1"/>
        <xdr:cNvGrpSpPr>
          <a:grpSpLocks/>
        </xdr:cNvGrpSpPr>
      </xdr:nvGrpSpPr>
      <xdr:grpSpPr bwMode="auto">
        <a:xfrm>
          <a:off x="6591300" y="157905450"/>
          <a:ext cx="876300" cy="180975"/>
          <a:chOff x="594" y="27"/>
          <a:chExt cx="92" cy="19"/>
        </a:xfrm>
      </xdr:grpSpPr>
      <xdr:sp macro="" textlink="">
        <xdr:nvSpPr>
          <xdr:cNvPr id="4659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420">
        <xdr:nvSpPr>
          <xdr:cNvPr id="4660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1560B1B-B3FF-45E4-8CA9-76EA3F88C75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4425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420</xdr:row>
      <xdr:rowOff>47625</xdr:rowOff>
    </xdr:from>
    <xdr:to>
      <xdr:col>18</xdr:col>
      <xdr:colOff>1933575</xdr:colOff>
      <xdr:row>420</xdr:row>
      <xdr:rowOff>285750</xdr:rowOff>
    </xdr:to>
    <xdr:grpSp>
      <xdr:nvGrpSpPr>
        <xdr:cNvPr id="4661" name="Group 3094"/>
        <xdr:cNvGrpSpPr>
          <a:grpSpLocks/>
        </xdr:cNvGrpSpPr>
      </xdr:nvGrpSpPr>
      <xdr:grpSpPr bwMode="auto">
        <a:xfrm>
          <a:off x="6124575" y="158210250"/>
          <a:ext cx="1876425" cy="238125"/>
          <a:chOff x="626" y="613"/>
          <a:chExt cx="197" cy="25"/>
        </a:xfrm>
      </xdr:grpSpPr>
      <xdr:sp macro="" textlink="I421">
        <xdr:nvSpPr>
          <xdr:cNvPr id="4662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CC59EE5-29E5-42D8-B27A-9F29BFEC8F3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500</a:t>
            </a:fld>
            <a:endParaRPr lang="en-US"/>
          </a:p>
        </xdr:txBody>
      </xdr:sp>
      <xdr:sp macro="" textlink="J421">
        <xdr:nvSpPr>
          <xdr:cNvPr id="4663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E2EE2D2B-DF92-4799-A07E-25D2C05D235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21">
        <xdr:nvSpPr>
          <xdr:cNvPr id="4664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ECAE33A-9AF0-4A54-8D80-9EE9A55AE62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3175</a:t>
            </a:fld>
            <a:endParaRPr lang="en-US"/>
          </a:p>
        </xdr:txBody>
      </xdr:sp>
      <xdr:sp macro="" textlink="L421">
        <xdr:nvSpPr>
          <xdr:cNvPr id="4665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36E48304-4A34-4464-A0DD-4BBBECA44DD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M421">
        <xdr:nvSpPr>
          <xdr:cNvPr id="4666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789CC2C-5A0F-41F1-89A8-644089DADAE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  <xdr:sp macro="" textlink="">
        <xdr:nvSpPr>
          <xdr:cNvPr id="4667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668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421</xdr:row>
      <xdr:rowOff>28575</xdr:rowOff>
    </xdr:from>
    <xdr:to>
      <xdr:col>18</xdr:col>
      <xdr:colOff>1724025</xdr:colOff>
      <xdr:row>421</xdr:row>
      <xdr:rowOff>295275</xdr:rowOff>
    </xdr:to>
    <xdr:grpSp>
      <xdr:nvGrpSpPr>
        <xdr:cNvPr id="4669" name="Group 3050"/>
        <xdr:cNvGrpSpPr>
          <a:grpSpLocks/>
        </xdr:cNvGrpSpPr>
      </xdr:nvGrpSpPr>
      <xdr:grpSpPr bwMode="auto">
        <a:xfrm>
          <a:off x="6124575" y="158524575"/>
          <a:ext cx="1666875" cy="266700"/>
          <a:chOff x="589" y="376"/>
          <a:chExt cx="175" cy="28"/>
        </a:xfrm>
      </xdr:grpSpPr>
      <xdr:sp macro="" textlink="I422">
        <xdr:nvSpPr>
          <xdr:cNvPr id="4670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7B3D8F1-9E96-4C6B-B3BC-7A2ABD8F134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422">
        <xdr:nvSpPr>
          <xdr:cNvPr id="4671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94B46F1-F9A4-4D1C-9A72-CD78DAC35EC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22">
        <xdr:nvSpPr>
          <xdr:cNvPr id="4672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433B73E-5680-4F16-B72D-BA99144B9F4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4673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674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422</xdr:row>
      <xdr:rowOff>66675</xdr:rowOff>
    </xdr:from>
    <xdr:to>
      <xdr:col>18</xdr:col>
      <xdr:colOff>1666875</xdr:colOff>
      <xdr:row>422</xdr:row>
      <xdr:rowOff>247650</xdr:rowOff>
    </xdr:to>
    <xdr:grpSp>
      <xdr:nvGrpSpPr>
        <xdr:cNvPr id="4680" name="Group 3085"/>
        <xdr:cNvGrpSpPr>
          <a:grpSpLocks/>
        </xdr:cNvGrpSpPr>
      </xdr:nvGrpSpPr>
      <xdr:grpSpPr bwMode="auto">
        <a:xfrm>
          <a:off x="6124575" y="158896050"/>
          <a:ext cx="1609725" cy="180975"/>
          <a:chOff x="607" y="1007"/>
          <a:chExt cx="169" cy="19"/>
        </a:xfrm>
      </xdr:grpSpPr>
      <xdr:sp macro="" textlink="">
        <xdr:nvSpPr>
          <xdr:cNvPr id="4681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423">
        <xdr:nvSpPr>
          <xdr:cNvPr id="4682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3C59825-883A-498D-9D85-7409345B060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423">
        <xdr:nvSpPr>
          <xdr:cNvPr id="4683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265490A-0BBC-4411-9AAE-118CE9DB282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6275</a:t>
            </a:fld>
            <a:endParaRPr lang="en-US"/>
          </a:p>
        </xdr:txBody>
      </xdr:sp>
      <xdr:sp macro="" textlink="K423">
        <xdr:nvSpPr>
          <xdr:cNvPr id="4684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4333B490-8D06-4659-ACA3-1C4F84A2A36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423</xdr:row>
      <xdr:rowOff>28575</xdr:rowOff>
    </xdr:from>
    <xdr:to>
      <xdr:col>18</xdr:col>
      <xdr:colOff>1724025</xdr:colOff>
      <xdr:row>423</xdr:row>
      <xdr:rowOff>295275</xdr:rowOff>
    </xdr:to>
    <xdr:grpSp>
      <xdr:nvGrpSpPr>
        <xdr:cNvPr id="4685" name="Group 3050"/>
        <xdr:cNvGrpSpPr>
          <a:grpSpLocks/>
        </xdr:cNvGrpSpPr>
      </xdr:nvGrpSpPr>
      <xdr:grpSpPr bwMode="auto">
        <a:xfrm>
          <a:off x="6124575" y="159191325"/>
          <a:ext cx="1666875" cy="266700"/>
          <a:chOff x="589" y="376"/>
          <a:chExt cx="175" cy="28"/>
        </a:xfrm>
      </xdr:grpSpPr>
      <xdr:sp macro="" textlink="I424">
        <xdr:nvSpPr>
          <xdr:cNvPr id="4686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4F42D3A-0EDA-41E9-8DAB-DF4A22768DB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424">
        <xdr:nvSpPr>
          <xdr:cNvPr id="4687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A82B0CB-FD72-4A42-9712-6A76C9CC7E2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424">
        <xdr:nvSpPr>
          <xdr:cNvPr id="4688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C921D75-F58E-4E3E-89BF-0F74D11230D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4689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690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424</xdr:row>
      <xdr:rowOff>66675</xdr:rowOff>
    </xdr:from>
    <xdr:to>
      <xdr:col>18</xdr:col>
      <xdr:colOff>1666875</xdr:colOff>
      <xdr:row>424</xdr:row>
      <xdr:rowOff>247650</xdr:rowOff>
    </xdr:to>
    <xdr:grpSp>
      <xdr:nvGrpSpPr>
        <xdr:cNvPr id="4696" name="Group 3085"/>
        <xdr:cNvGrpSpPr>
          <a:grpSpLocks/>
        </xdr:cNvGrpSpPr>
      </xdr:nvGrpSpPr>
      <xdr:grpSpPr bwMode="auto">
        <a:xfrm>
          <a:off x="6124575" y="159562800"/>
          <a:ext cx="1609725" cy="180975"/>
          <a:chOff x="607" y="1007"/>
          <a:chExt cx="169" cy="19"/>
        </a:xfrm>
      </xdr:grpSpPr>
      <xdr:sp macro="" textlink="">
        <xdr:nvSpPr>
          <xdr:cNvPr id="4697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425">
        <xdr:nvSpPr>
          <xdr:cNvPr id="4698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C789D6CF-80F6-4F7E-8F25-185A7401C2C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J425">
        <xdr:nvSpPr>
          <xdr:cNvPr id="4699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09A30E1-8430-4966-BFDB-3C918FBAB11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4425</a:t>
            </a:fld>
            <a:endParaRPr lang="en-US"/>
          </a:p>
        </xdr:txBody>
      </xdr:sp>
      <xdr:sp macro="" textlink="K425">
        <xdr:nvSpPr>
          <xdr:cNvPr id="4700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ABD95CC-17A4-4154-985B-500FC6C6159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28575</xdr:colOff>
      <xdr:row>20</xdr:row>
      <xdr:rowOff>104775</xdr:rowOff>
    </xdr:from>
    <xdr:to>
      <xdr:col>18</xdr:col>
      <xdr:colOff>1638300</xdr:colOff>
      <xdr:row>20</xdr:row>
      <xdr:rowOff>285750</xdr:rowOff>
    </xdr:to>
    <xdr:grpSp>
      <xdr:nvGrpSpPr>
        <xdr:cNvPr id="4728" name="Group 3085"/>
        <xdr:cNvGrpSpPr>
          <a:grpSpLocks/>
        </xdr:cNvGrpSpPr>
      </xdr:nvGrpSpPr>
      <xdr:grpSpPr bwMode="auto">
        <a:xfrm>
          <a:off x="6096000" y="6600825"/>
          <a:ext cx="1609725" cy="180975"/>
          <a:chOff x="607" y="1007"/>
          <a:chExt cx="169" cy="19"/>
        </a:xfrm>
      </xdr:grpSpPr>
      <xdr:sp macro="" textlink="">
        <xdr:nvSpPr>
          <xdr:cNvPr id="4729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1">
        <xdr:nvSpPr>
          <xdr:cNvPr id="4730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C7855B0D-5519-48C2-80FD-E196D667CD9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350</a:t>
            </a:fld>
            <a:endParaRPr lang="en-US"/>
          </a:p>
        </xdr:txBody>
      </xdr:sp>
      <xdr:sp macro="" textlink="J21">
        <xdr:nvSpPr>
          <xdr:cNvPr id="4731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224958F-DF23-4EF1-8DC1-50CCF71A2C6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2100</a:t>
            </a:fld>
            <a:endParaRPr lang="en-US"/>
          </a:p>
        </xdr:txBody>
      </xdr:sp>
      <xdr:sp macro="" textlink="K21">
        <xdr:nvSpPr>
          <xdr:cNvPr id="4732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70B69E3-0E92-4224-AFE5-73781C2C4FE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21</xdr:row>
      <xdr:rowOff>66675</xdr:rowOff>
    </xdr:from>
    <xdr:to>
      <xdr:col>18</xdr:col>
      <xdr:colOff>1666875</xdr:colOff>
      <xdr:row>21</xdr:row>
      <xdr:rowOff>247650</xdr:rowOff>
    </xdr:to>
    <xdr:grpSp>
      <xdr:nvGrpSpPr>
        <xdr:cNvPr id="4733" name="Group 3085"/>
        <xdr:cNvGrpSpPr>
          <a:grpSpLocks/>
        </xdr:cNvGrpSpPr>
      </xdr:nvGrpSpPr>
      <xdr:grpSpPr bwMode="auto">
        <a:xfrm>
          <a:off x="6124575" y="6896100"/>
          <a:ext cx="1609725" cy="180975"/>
          <a:chOff x="607" y="1007"/>
          <a:chExt cx="169" cy="19"/>
        </a:xfrm>
      </xdr:grpSpPr>
      <xdr:sp macro="" textlink="">
        <xdr:nvSpPr>
          <xdr:cNvPr id="4734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2">
        <xdr:nvSpPr>
          <xdr:cNvPr id="4735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A2C6EE7-3B5D-4217-B39E-14996EBE21F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350</a:t>
            </a:fld>
            <a:endParaRPr lang="en-US"/>
          </a:p>
        </xdr:txBody>
      </xdr:sp>
      <xdr:sp macro="" textlink="J22">
        <xdr:nvSpPr>
          <xdr:cNvPr id="4736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EE7550D-0BF6-41A7-8881-F5760AB9276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3400</a:t>
            </a:fld>
            <a:endParaRPr lang="en-US"/>
          </a:p>
        </xdr:txBody>
      </xdr:sp>
      <xdr:sp macro="" textlink="K22">
        <xdr:nvSpPr>
          <xdr:cNvPr id="4737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8547AA8-8AA6-4691-A769-B31F3AB03B1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350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133</xdr:row>
      <xdr:rowOff>76200</xdr:rowOff>
    </xdr:from>
    <xdr:to>
      <xdr:col>18</xdr:col>
      <xdr:colOff>1400175</xdr:colOff>
      <xdr:row>133</xdr:row>
      <xdr:rowOff>257175</xdr:rowOff>
    </xdr:to>
    <xdr:grpSp>
      <xdr:nvGrpSpPr>
        <xdr:cNvPr id="4767" name="Group 1"/>
        <xdr:cNvGrpSpPr>
          <a:grpSpLocks/>
        </xdr:cNvGrpSpPr>
      </xdr:nvGrpSpPr>
      <xdr:grpSpPr bwMode="auto">
        <a:xfrm>
          <a:off x="6591300" y="50730150"/>
          <a:ext cx="876300" cy="180975"/>
          <a:chOff x="594" y="27"/>
          <a:chExt cx="92" cy="19"/>
        </a:xfrm>
      </xdr:grpSpPr>
      <xdr:sp macro="" textlink="">
        <xdr:nvSpPr>
          <xdr:cNvPr id="4768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34">
        <xdr:nvSpPr>
          <xdr:cNvPr id="4769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4434F13-D00A-4B47-9B4D-C3DFE3E6DDC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18000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145</xdr:row>
      <xdr:rowOff>76200</xdr:rowOff>
    </xdr:from>
    <xdr:to>
      <xdr:col>18</xdr:col>
      <xdr:colOff>1400175</xdr:colOff>
      <xdr:row>145</xdr:row>
      <xdr:rowOff>257175</xdr:rowOff>
    </xdr:to>
    <xdr:grpSp>
      <xdr:nvGrpSpPr>
        <xdr:cNvPr id="4789" name="Group 1"/>
        <xdr:cNvGrpSpPr>
          <a:grpSpLocks/>
        </xdr:cNvGrpSpPr>
      </xdr:nvGrpSpPr>
      <xdr:grpSpPr bwMode="auto">
        <a:xfrm>
          <a:off x="6591300" y="55454550"/>
          <a:ext cx="876300" cy="180975"/>
          <a:chOff x="594" y="27"/>
          <a:chExt cx="92" cy="19"/>
        </a:xfrm>
      </xdr:grpSpPr>
      <xdr:sp macro="" textlink="">
        <xdr:nvSpPr>
          <xdr:cNvPr id="4790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46">
        <xdr:nvSpPr>
          <xdr:cNvPr id="4791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EF35FB3-0D0F-4468-8797-D7036C6EB8D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143</xdr:row>
      <xdr:rowOff>76200</xdr:rowOff>
    </xdr:from>
    <xdr:to>
      <xdr:col>18</xdr:col>
      <xdr:colOff>1400175</xdr:colOff>
      <xdr:row>143</xdr:row>
      <xdr:rowOff>257175</xdr:rowOff>
    </xdr:to>
    <xdr:grpSp>
      <xdr:nvGrpSpPr>
        <xdr:cNvPr id="4795" name="Group 1"/>
        <xdr:cNvGrpSpPr>
          <a:grpSpLocks/>
        </xdr:cNvGrpSpPr>
      </xdr:nvGrpSpPr>
      <xdr:grpSpPr bwMode="auto">
        <a:xfrm>
          <a:off x="6591300" y="54787800"/>
          <a:ext cx="876300" cy="180975"/>
          <a:chOff x="594" y="27"/>
          <a:chExt cx="92" cy="19"/>
        </a:xfrm>
      </xdr:grpSpPr>
      <xdr:sp macro="" textlink="">
        <xdr:nvSpPr>
          <xdr:cNvPr id="4796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44">
        <xdr:nvSpPr>
          <xdr:cNvPr id="4797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1DC0EAA-06F7-4AF2-A89B-5A59B7DF2AD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29438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166</xdr:row>
      <xdr:rowOff>57150</xdr:rowOff>
    </xdr:from>
    <xdr:to>
      <xdr:col>18</xdr:col>
      <xdr:colOff>1600200</xdr:colOff>
      <xdr:row>166</xdr:row>
      <xdr:rowOff>723900</xdr:rowOff>
    </xdr:to>
    <xdr:grpSp>
      <xdr:nvGrpSpPr>
        <xdr:cNvPr id="4798" name="Group 2870"/>
        <xdr:cNvGrpSpPr>
          <a:grpSpLocks/>
        </xdr:cNvGrpSpPr>
      </xdr:nvGrpSpPr>
      <xdr:grpSpPr bwMode="auto">
        <a:xfrm>
          <a:off x="6124575" y="63265050"/>
          <a:ext cx="1543050" cy="666750"/>
          <a:chOff x="532" y="1873"/>
          <a:chExt cx="162" cy="70"/>
        </a:xfrm>
      </xdr:grpSpPr>
      <xdr:sp macro="" textlink="I167">
        <xdr:nvSpPr>
          <xdr:cNvPr id="4799" name="Text Box 2871"/>
          <xdr:cNvSpPr txBox="1">
            <a:spLocks noChangeArrowheads="1" noTextEdit="1"/>
          </xdr:cNvSpPr>
        </xdr:nvSpPr>
        <xdr:spPr bwMode="auto">
          <a:xfrm>
            <a:off x="562" y="192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95660EA-0AF4-4042-918D-E3972EB3951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2850</a:t>
            </a:fld>
            <a:endParaRPr lang="en-US"/>
          </a:p>
        </xdr:txBody>
      </xdr:sp>
      <xdr:sp macro="" textlink="J167">
        <xdr:nvSpPr>
          <xdr:cNvPr id="4800" name="Text Box 2872"/>
          <xdr:cNvSpPr txBox="1">
            <a:spLocks noChangeArrowheads="1" noTextEdit="1"/>
          </xdr:cNvSpPr>
        </xdr:nvSpPr>
        <xdr:spPr bwMode="auto">
          <a:xfrm>
            <a:off x="645" y="19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5BF7FDA-2463-47A5-8DD5-E31ECC44FBC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110</a:t>
            </a:fld>
            <a:endParaRPr lang="en-US"/>
          </a:p>
        </xdr:txBody>
      </xdr:sp>
      <xdr:sp macro="" textlink="K167">
        <xdr:nvSpPr>
          <xdr:cNvPr id="4801" name="Text Box 2873"/>
          <xdr:cNvSpPr txBox="1">
            <a:spLocks noChangeArrowheads="1" noTextEdit="1"/>
          </xdr:cNvSpPr>
        </xdr:nvSpPr>
        <xdr:spPr bwMode="auto">
          <a:xfrm>
            <a:off x="532" y="187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E3016F1-F94F-4746-B7E7-7EEA29120F8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L167">
        <xdr:nvSpPr>
          <xdr:cNvPr id="4802" name="Text Box 2874"/>
          <xdr:cNvSpPr txBox="1">
            <a:spLocks noChangeArrowheads="1" noTextEdit="1"/>
          </xdr:cNvSpPr>
        </xdr:nvSpPr>
        <xdr:spPr bwMode="auto">
          <a:xfrm>
            <a:off x="596" y="187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25C812D2-41FE-4B76-840A-16903D56516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600</a:t>
            </a:fld>
            <a:endParaRPr lang="en-US"/>
          </a:p>
        </xdr:txBody>
      </xdr:sp>
      <xdr:sp macro="" textlink="">
        <xdr:nvSpPr>
          <xdr:cNvPr id="4803" name="Freeform 2875"/>
          <xdr:cNvSpPr>
            <a:spLocks/>
          </xdr:cNvSpPr>
        </xdr:nvSpPr>
        <xdr:spPr bwMode="auto">
          <a:xfrm>
            <a:off x="536" y="1896"/>
            <a:ext cx="100" cy="28"/>
          </a:xfrm>
          <a:custGeom>
            <a:avLst/>
            <a:gdLst>
              <a:gd name="T0" fmla="*/ 35 w 100"/>
              <a:gd name="T1" fmla="*/ 2 h 28"/>
              <a:gd name="T2" fmla="*/ 14 w 100"/>
              <a:gd name="T3" fmla="*/ 2 h 28"/>
              <a:gd name="T4" fmla="*/ 0 w 100"/>
              <a:gd name="T5" fmla="*/ 14 h 28"/>
              <a:gd name="T6" fmla="*/ 14 w 100"/>
              <a:gd name="T7" fmla="*/ 28 h 28"/>
              <a:gd name="T8" fmla="*/ 85 w 100"/>
              <a:gd name="T9" fmla="*/ 28 h 28"/>
              <a:gd name="T10" fmla="*/ 100 w 100"/>
              <a:gd name="T11" fmla="*/ 14 h 28"/>
              <a:gd name="T12" fmla="*/ 86 w 100"/>
              <a:gd name="T13" fmla="*/ 1 h 28"/>
              <a:gd name="T14" fmla="*/ 64 w 100"/>
              <a:gd name="T15" fmla="*/ 1 h 2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00" h="28">
                <a:moveTo>
                  <a:pt x="35" y="2"/>
                </a:moveTo>
                <a:lnTo>
                  <a:pt x="14" y="2"/>
                </a:lnTo>
                <a:cubicBezTo>
                  <a:pt x="14" y="2"/>
                  <a:pt x="1" y="2"/>
                  <a:pt x="0" y="14"/>
                </a:cubicBezTo>
                <a:cubicBezTo>
                  <a:pt x="0" y="27"/>
                  <a:pt x="14" y="28"/>
                  <a:pt x="14" y="28"/>
                </a:cubicBezTo>
                <a:lnTo>
                  <a:pt x="85" y="28"/>
                </a:lnTo>
                <a:cubicBezTo>
                  <a:pt x="85" y="28"/>
                  <a:pt x="100" y="28"/>
                  <a:pt x="100" y="14"/>
                </a:cubicBezTo>
                <a:cubicBezTo>
                  <a:pt x="100" y="0"/>
                  <a:pt x="86" y="1"/>
                  <a:pt x="86" y="1"/>
                </a:cubicBezTo>
                <a:lnTo>
                  <a:pt x="64" y="1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4804" name="Freeform 2876"/>
          <xdr:cNvSpPr>
            <a:spLocks/>
          </xdr:cNvSpPr>
        </xdr:nvSpPr>
        <xdr:spPr bwMode="auto">
          <a:xfrm>
            <a:off x="535" y="1890"/>
            <a:ext cx="36" cy="12"/>
          </a:xfrm>
          <a:custGeom>
            <a:avLst/>
            <a:gdLst>
              <a:gd name="T0" fmla="*/ 35 w 35"/>
              <a:gd name="T1" fmla="*/ 0 h 14"/>
              <a:gd name="T2" fmla="*/ 35 w 35"/>
              <a:gd name="T3" fmla="*/ 6 h 14"/>
              <a:gd name="T4" fmla="*/ 35 w 35"/>
              <a:gd name="T5" fmla="*/ 0 h 14"/>
              <a:gd name="T6" fmla="*/ 0 w 35"/>
              <a:gd name="T7" fmla="*/ 0 h 14"/>
              <a:gd name="T8" fmla="*/ 0 w 35"/>
              <a:gd name="T9" fmla="*/ 14 h 14"/>
              <a:gd name="T10" fmla="*/ 0 w 35"/>
              <a:gd name="T11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5" h="14">
                <a:moveTo>
                  <a:pt x="35" y="0"/>
                </a:moveTo>
                <a:lnTo>
                  <a:pt x="35" y="6"/>
                </a:lnTo>
                <a:lnTo>
                  <a:pt x="35" y="0"/>
                </a:lnTo>
                <a:lnTo>
                  <a:pt x="0" y="0"/>
                </a:lnTo>
                <a:lnTo>
                  <a:pt x="0" y="14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05" name="Freeform 2877"/>
          <xdr:cNvSpPr>
            <a:spLocks/>
          </xdr:cNvSpPr>
        </xdr:nvSpPr>
        <xdr:spPr bwMode="auto">
          <a:xfrm>
            <a:off x="600" y="1889"/>
            <a:ext cx="36" cy="13"/>
          </a:xfrm>
          <a:custGeom>
            <a:avLst/>
            <a:gdLst>
              <a:gd name="T0" fmla="*/ 37 w 37"/>
              <a:gd name="T1" fmla="*/ 0 h 14"/>
              <a:gd name="T2" fmla="*/ 37 w 37"/>
              <a:gd name="T3" fmla="*/ 14 h 14"/>
              <a:gd name="T4" fmla="*/ 37 w 37"/>
              <a:gd name="T5" fmla="*/ 0 h 14"/>
              <a:gd name="T6" fmla="*/ 0 w 37"/>
              <a:gd name="T7" fmla="*/ 0 h 14"/>
              <a:gd name="T8" fmla="*/ 0 w 37"/>
              <a:gd name="T9" fmla="*/ 6 h 14"/>
              <a:gd name="T10" fmla="*/ 0 w 37"/>
              <a:gd name="T11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7" h="14">
                <a:moveTo>
                  <a:pt x="37" y="0"/>
                </a:moveTo>
                <a:lnTo>
                  <a:pt x="37" y="14"/>
                </a:lnTo>
                <a:lnTo>
                  <a:pt x="37" y="0"/>
                </a:lnTo>
                <a:lnTo>
                  <a:pt x="0" y="0"/>
                </a:lnTo>
                <a:lnTo>
                  <a:pt x="0" y="6"/>
                </a:lnTo>
                <a:lnTo>
                  <a:pt x="0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06" name="Freeform 2878"/>
          <xdr:cNvSpPr>
            <a:spLocks/>
          </xdr:cNvSpPr>
        </xdr:nvSpPr>
        <xdr:spPr bwMode="auto">
          <a:xfrm rot="16200000">
            <a:off x="625" y="1905"/>
            <a:ext cx="26" cy="9"/>
          </a:xfrm>
          <a:custGeom>
            <a:avLst/>
            <a:gdLst>
              <a:gd name="T0" fmla="*/ 0 w 41"/>
              <a:gd name="T1" fmla="*/ 9 h 9"/>
              <a:gd name="T2" fmla="*/ 0 w 41"/>
              <a:gd name="T3" fmla="*/ 0 h 9"/>
              <a:gd name="T4" fmla="*/ 0 w 41"/>
              <a:gd name="T5" fmla="*/ 9 h 9"/>
              <a:gd name="T6" fmla="*/ 41 w 41"/>
              <a:gd name="T7" fmla="*/ 9 h 9"/>
              <a:gd name="T8" fmla="*/ 41 w 41"/>
              <a:gd name="T9" fmla="*/ 0 h 9"/>
              <a:gd name="T10" fmla="*/ 41 w 41"/>
              <a:gd name="T11" fmla="*/ 9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0" y="9"/>
                </a:moveTo>
                <a:lnTo>
                  <a:pt x="0" y="0"/>
                </a:lnTo>
                <a:lnTo>
                  <a:pt x="0" y="9"/>
                </a:lnTo>
                <a:lnTo>
                  <a:pt x="41" y="9"/>
                </a:lnTo>
                <a:lnTo>
                  <a:pt x="41" y="0"/>
                </a:lnTo>
                <a:lnTo>
                  <a:pt x="41" y="9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07" name="Freeform 2879"/>
          <xdr:cNvSpPr>
            <a:spLocks/>
          </xdr:cNvSpPr>
        </xdr:nvSpPr>
        <xdr:spPr bwMode="auto">
          <a:xfrm>
            <a:off x="536" y="1921"/>
            <a:ext cx="99" cy="20"/>
          </a:xfrm>
          <a:custGeom>
            <a:avLst/>
            <a:gdLst>
              <a:gd name="T0" fmla="*/ 0 w 41"/>
              <a:gd name="T1" fmla="*/ 9 h 9"/>
              <a:gd name="T2" fmla="*/ 0 w 41"/>
              <a:gd name="T3" fmla="*/ 0 h 9"/>
              <a:gd name="T4" fmla="*/ 0 w 41"/>
              <a:gd name="T5" fmla="*/ 9 h 9"/>
              <a:gd name="T6" fmla="*/ 41 w 41"/>
              <a:gd name="T7" fmla="*/ 9 h 9"/>
              <a:gd name="T8" fmla="*/ 41 w 41"/>
              <a:gd name="T9" fmla="*/ 0 h 9"/>
              <a:gd name="T10" fmla="*/ 41 w 41"/>
              <a:gd name="T11" fmla="*/ 9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41" h="9">
                <a:moveTo>
                  <a:pt x="0" y="9"/>
                </a:moveTo>
                <a:lnTo>
                  <a:pt x="0" y="0"/>
                </a:lnTo>
                <a:lnTo>
                  <a:pt x="0" y="9"/>
                </a:lnTo>
                <a:lnTo>
                  <a:pt x="41" y="9"/>
                </a:lnTo>
                <a:lnTo>
                  <a:pt x="41" y="0"/>
                </a:lnTo>
                <a:lnTo>
                  <a:pt x="41" y="9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28</xdr:row>
      <xdr:rowOff>19050</xdr:rowOff>
    </xdr:from>
    <xdr:to>
      <xdr:col>18</xdr:col>
      <xdr:colOff>1905000</xdr:colOff>
      <xdr:row>28</xdr:row>
      <xdr:rowOff>304800</xdr:rowOff>
    </xdr:to>
    <xdr:grpSp>
      <xdr:nvGrpSpPr>
        <xdr:cNvPr id="3090" name="Group 3092"/>
        <xdr:cNvGrpSpPr>
          <a:grpSpLocks/>
        </xdr:cNvGrpSpPr>
      </xdr:nvGrpSpPr>
      <xdr:grpSpPr bwMode="auto">
        <a:xfrm>
          <a:off x="6115050" y="9182100"/>
          <a:ext cx="1857375" cy="285750"/>
          <a:chOff x="606" y="2035"/>
          <a:chExt cx="195" cy="30"/>
        </a:xfrm>
      </xdr:grpSpPr>
      <xdr:sp macro="" textlink="I29">
        <xdr:nvSpPr>
          <xdr:cNvPr id="3125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DECD362-C43E-4F86-9F3C-AC55A4A785D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1000</a:t>
            </a:fld>
            <a:endParaRPr lang="en-US"/>
          </a:p>
        </xdr:txBody>
      </xdr:sp>
      <xdr:sp macro="" textlink="J29">
        <xdr:nvSpPr>
          <xdr:cNvPr id="3126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D3EF32F-7499-4117-BC36-746B4B579A6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150</a:t>
            </a:fld>
            <a:endParaRPr lang="en-US"/>
          </a:p>
        </xdr:txBody>
      </xdr:sp>
      <xdr:sp macro="" textlink="K29">
        <xdr:nvSpPr>
          <xdr:cNvPr id="3127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BF7B3A4-9DF1-4491-9B22-0958C13717B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450</a:t>
            </a:fld>
            <a:endParaRPr lang="en-US"/>
          </a:p>
        </xdr:txBody>
      </xdr:sp>
      <xdr:sp macro="" textlink="">
        <xdr:nvSpPr>
          <xdr:cNvPr id="3128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29">
        <xdr:nvSpPr>
          <xdr:cNvPr id="3133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021AC9A-E778-47A8-9E6A-DC6236CA17B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50</a:t>
            </a:fld>
            <a:endParaRPr lang="en-US"/>
          </a:p>
        </xdr:txBody>
      </xdr:sp>
      <xdr:sp macro="" textlink="">
        <xdr:nvSpPr>
          <xdr:cNvPr id="3134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16</xdr:row>
      <xdr:rowOff>66675</xdr:rowOff>
    </xdr:from>
    <xdr:to>
      <xdr:col>18</xdr:col>
      <xdr:colOff>1666875</xdr:colOff>
      <xdr:row>16</xdr:row>
      <xdr:rowOff>247650</xdr:rowOff>
    </xdr:to>
    <xdr:grpSp>
      <xdr:nvGrpSpPr>
        <xdr:cNvPr id="3140" name="Group 3085"/>
        <xdr:cNvGrpSpPr>
          <a:grpSpLocks/>
        </xdr:cNvGrpSpPr>
      </xdr:nvGrpSpPr>
      <xdr:grpSpPr bwMode="auto">
        <a:xfrm>
          <a:off x="6124575" y="5229225"/>
          <a:ext cx="1609725" cy="180975"/>
          <a:chOff x="607" y="1007"/>
          <a:chExt cx="169" cy="19"/>
        </a:xfrm>
      </xdr:grpSpPr>
      <xdr:sp macro="" textlink="">
        <xdr:nvSpPr>
          <xdr:cNvPr id="3141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7">
        <xdr:nvSpPr>
          <xdr:cNvPr id="3142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61A5D1B-8DB8-4723-BC4B-CD86A4D1F9D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J17">
        <xdr:nvSpPr>
          <xdr:cNvPr id="3143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988E419-21C7-4D42-9A3B-1170212BDA3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1900</a:t>
            </a:fld>
            <a:endParaRPr lang="en-US"/>
          </a:p>
        </xdr:txBody>
      </xdr:sp>
      <xdr:sp macro="" textlink="K17">
        <xdr:nvSpPr>
          <xdr:cNvPr id="3155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B3FD63D-725D-4F0B-B341-469BFFBB1E3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168</xdr:row>
      <xdr:rowOff>47625</xdr:rowOff>
    </xdr:from>
    <xdr:to>
      <xdr:col>18</xdr:col>
      <xdr:colOff>1219200</xdr:colOff>
      <xdr:row>168</xdr:row>
      <xdr:rowOff>276225</xdr:rowOff>
    </xdr:to>
    <xdr:grpSp>
      <xdr:nvGrpSpPr>
        <xdr:cNvPr id="3139" name="Group 4"/>
        <xdr:cNvGrpSpPr>
          <a:grpSpLocks/>
        </xdr:cNvGrpSpPr>
      </xdr:nvGrpSpPr>
      <xdr:grpSpPr bwMode="auto">
        <a:xfrm>
          <a:off x="6124575" y="64369950"/>
          <a:ext cx="1162050" cy="228600"/>
          <a:chOff x="545" y="97"/>
          <a:chExt cx="122" cy="24"/>
        </a:xfrm>
      </xdr:grpSpPr>
      <xdr:sp macro="" textlink="">
        <xdr:nvSpPr>
          <xdr:cNvPr id="3156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69">
        <xdr:nvSpPr>
          <xdr:cNvPr id="3157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B9E3B4C-525C-48C9-8F30-A36FD41283F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J169">
        <xdr:nvSpPr>
          <xdr:cNvPr id="3158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6F4950E-6C11-4A64-945C-9414F2BABE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4200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169</xdr:row>
      <xdr:rowOff>47625</xdr:rowOff>
    </xdr:from>
    <xdr:to>
      <xdr:col>18</xdr:col>
      <xdr:colOff>1933575</xdr:colOff>
      <xdr:row>169</xdr:row>
      <xdr:rowOff>285750</xdr:rowOff>
    </xdr:to>
    <xdr:grpSp>
      <xdr:nvGrpSpPr>
        <xdr:cNvPr id="3159" name="Group 3094"/>
        <xdr:cNvGrpSpPr>
          <a:grpSpLocks/>
        </xdr:cNvGrpSpPr>
      </xdr:nvGrpSpPr>
      <xdr:grpSpPr bwMode="auto">
        <a:xfrm>
          <a:off x="6124575" y="64703325"/>
          <a:ext cx="1876425" cy="238125"/>
          <a:chOff x="626" y="613"/>
          <a:chExt cx="197" cy="25"/>
        </a:xfrm>
      </xdr:grpSpPr>
      <xdr:sp macro="" textlink="I170">
        <xdr:nvSpPr>
          <xdr:cNvPr id="3160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4DDA1F7-477D-48F3-84B8-E18F3DCF625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500</a:t>
            </a:fld>
            <a:endParaRPr lang="en-US"/>
          </a:p>
        </xdr:txBody>
      </xdr:sp>
      <xdr:sp macro="" textlink="J170">
        <xdr:nvSpPr>
          <xdr:cNvPr id="3161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8E053A4-DE81-44A1-9CCD-17EC50A784D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170">
        <xdr:nvSpPr>
          <xdr:cNvPr id="3173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A0450C2-9FD5-4503-8F57-581F9B9D8C6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2800</a:t>
            </a:fld>
            <a:endParaRPr lang="en-US"/>
          </a:p>
        </xdr:txBody>
      </xdr:sp>
      <xdr:sp macro="" textlink="L170">
        <xdr:nvSpPr>
          <xdr:cNvPr id="3174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D107412-C491-42B9-B7A0-D85387D835D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</a:t>
            </a:fld>
            <a:endParaRPr lang="en-US"/>
          </a:p>
        </xdr:txBody>
      </xdr:sp>
      <xdr:sp macro="" textlink="M170">
        <xdr:nvSpPr>
          <xdr:cNvPr id="3175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A4A7EAC-226D-4972-BF5B-FD6E2434FA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">
        <xdr:nvSpPr>
          <xdr:cNvPr id="3176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177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170</xdr:row>
      <xdr:rowOff>47625</xdr:rowOff>
    </xdr:from>
    <xdr:to>
      <xdr:col>18</xdr:col>
      <xdr:colOff>1933575</xdr:colOff>
      <xdr:row>170</xdr:row>
      <xdr:rowOff>285750</xdr:rowOff>
    </xdr:to>
    <xdr:grpSp>
      <xdr:nvGrpSpPr>
        <xdr:cNvPr id="3186" name="Group 3094"/>
        <xdr:cNvGrpSpPr>
          <a:grpSpLocks/>
        </xdr:cNvGrpSpPr>
      </xdr:nvGrpSpPr>
      <xdr:grpSpPr bwMode="auto">
        <a:xfrm>
          <a:off x="6124575" y="65036700"/>
          <a:ext cx="1876425" cy="238125"/>
          <a:chOff x="626" y="613"/>
          <a:chExt cx="197" cy="25"/>
        </a:xfrm>
      </xdr:grpSpPr>
      <xdr:sp macro="" textlink="I171">
        <xdr:nvSpPr>
          <xdr:cNvPr id="3187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BDF8E17-AFA4-481C-B3D6-E918A166C9B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500</a:t>
            </a:fld>
            <a:endParaRPr lang="en-US"/>
          </a:p>
        </xdr:txBody>
      </xdr:sp>
      <xdr:sp macro="" textlink="J171">
        <xdr:nvSpPr>
          <xdr:cNvPr id="3188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41E37F01-98C1-4286-99FB-0C8C02EE2C6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171">
        <xdr:nvSpPr>
          <xdr:cNvPr id="3189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6D1C30A-8348-4F07-8419-C848543592A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1200</a:t>
            </a:fld>
            <a:endParaRPr lang="en-US"/>
          </a:p>
        </xdr:txBody>
      </xdr:sp>
      <xdr:sp macro="" textlink="L171">
        <xdr:nvSpPr>
          <xdr:cNvPr id="3190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FFCD848-7AA7-4E55-BD9B-89C5F8E8F81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</a:t>
            </a:fld>
            <a:endParaRPr lang="en-US"/>
          </a:p>
        </xdr:txBody>
      </xdr:sp>
      <xdr:sp macro="" textlink="M171">
        <xdr:nvSpPr>
          <xdr:cNvPr id="3191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8234BA3-604D-4C3A-ADE1-87CCFA08463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">
        <xdr:nvSpPr>
          <xdr:cNvPr id="3192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193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171</xdr:row>
      <xdr:rowOff>47625</xdr:rowOff>
    </xdr:from>
    <xdr:to>
      <xdr:col>18</xdr:col>
      <xdr:colOff>1219200</xdr:colOff>
      <xdr:row>171</xdr:row>
      <xdr:rowOff>276225</xdr:rowOff>
    </xdr:to>
    <xdr:grpSp>
      <xdr:nvGrpSpPr>
        <xdr:cNvPr id="3206" name="Group 4"/>
        <xdr:cNvGrpSpPr>
          <a:grpSpLocks/>
        </xdr:cNvGrpSpPr>
      </xdr:nvGrpSpPr>
      <xdr:grpSpPr bwMode="auto">
        <a:xfrm>
          <a:off x="6124575" y="65370075"/>
          <a:ext cx="1162050" cy="228600"/>
          <a:chOff x="545" y="97"/>
          <a:chExt cx="122" cy="24"/>
        </a:xfrm>
      </xdr:grpSpPr>
      <xdr:sp macro="" textlink="">
        <xdr:nvSpPr>
          <xdr:cNvPr id="3207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72">
        <xdr:nvSpPr>
          <xdr:cNvPr id="3208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C740973-E4B5-424A-8C06-5E05B3F6AD6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J172">
        <xdr:nvSpPr>
          <xdr:cNvPr id="3209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812279C-FD94-4C01-BD22-A5DD04C9D60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5800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173</xdr:row>
      <xdr:rowOff>47625</xdr:rowOff>
    </xdr:from>
    <xdr:to>
      <xdr:col>18</xdr:col>
      <xdr:colOff>1219200</xdr:colOff>
      <xdr:row>173</xdr:row>
      <xdr:rowOff>276225</xdr:rowOff>
    </xdr:to>
    <xdr:grpSp>
      <xdr:nvGrpSpPr>
        <xdr:cNvPr id="3214" name="Group 4"/>
        <xdr:cNvGrpSpPr>
          <a:grpSpLocks/>
        </xdr:cNvGrpSpPr>
      </xdr:nvGrpSpPr>
      <xdr:grpSpPr bwMode="auto">
        <a:xfrm>
          <a:off x="6124575" y="66036825"/>
          <a:ext cx="1162050" cy="228600"/>
          <a:chOff x="545" y="97"/>
          <a:chExt cx="122" cy="24"/>
        </a:xfrm>
      </xdr:grpSpPr>
      <xdr:sp macro="" textlink="">
        <xdr:nvSpPr>
          <xdr:cNvPr id="3215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74">
        <xdr:nvSpPr>
          <xdr:cNvPr id="3216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7F37AF5C-C01D-4609-8AEC-872BD549EEA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J174">
        <xdr:nvSpPr>
          <xdr:cNvPr id="3217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ED52BB5-4117-4264-9C7B-8A3082D985A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4200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174</xdr:row>
      <xdr:rowOff>76200</xdr:rowOff>
    </xdr:from>
    <xdr:to>
      <xdr:col>18</xdr:col>
      <xdr:colOff>1400175</xdr:colOff>
      <xdr:row>174</xdr:row>
      <xdr:rowOff>257175</xdr:rowOff>
    </xdr:to>
    <xdr:grpSp>
      <xdr:nvGrpSpPr>
        <xdr:cNvPr id="3221" name="Group 1"/>
        <xdr:cNvGrpSpPr>
          <a:grpSpLocks/>
        </xdr:cNvGrpSpPr>
      </xdr:nvGrpSpPr>
      <xdr:grpSpPr bwMode="auto">
        <a:xfrm>
          <a:off x="6591300" y="66398775"/>
          <a:ext cx="876300" cy="180975"/>
          <a:chOff x="594" y="27"/>
          <a:chExt cx="92" cy="19"/>
        </a:xfrm>
      </xdr:grpSpPr>
      <xdr:sp macro="" textlink="">
        <xdr:nvSpPr>
          <xdr:cNvPr id="3222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75">
        <xdr:nvSpPr>
          <xdr:cNvPr id="3223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43821B4-C72F-4900-8869-DB07C189F54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4200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175</xdr:row>
      <xdr:rowOff>47625</xdr:rowOff>
    </xdr:from>
    <xdr:to>
      <xdr:col>18</xdr:col>
      <xdr:colOff>1933575</xdr:colOff>
      <xdr:row>175</xdr:row>
      <xdr:rowOff>285750</xdr:rowOff>
    </xdr:to>
    <xdr:grpSp>
      <xdr:nvGrpSpPr>
        <xdr:cNvPr id="3231" name="Group 3094"/>
        <xdr:cNvGrpSpPr>
          <a:grpSpLocks/>
        </xdr:cNvGrpSpPr>
      </xdr:nvGrpSpPr>
      <xdr:grpSpPr bwMode="auto">
        <a:xfrm>
          <a:off x="6124575" y="66703575"/>
          <a:ext cx="1876425" cy="238125"/>
          <a:chOff x="626" y="613"/>
          <a:chExt cx="197" cy="25"/>
        </a:xfrm>
      </xdr:grpSpPr>
      <xdr:sp macro="" textlink="I176">
        <xdr:nvSpPr>
          <xdr:cNvPr id="3232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9E0DEA2-EE2A-4DB9-BD23-14323EAFCDE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500</a:t>
            </a:fld>
            <a:endParaRPr lang="en-US"/>
          </a:p>
        </xdr:txBody>
      </xdr:sp>
      <xdr:sp macro="" textlink="J176">
        <xdr:nvSpPr>
          <xdr:cNvPr id="3233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92E8DDA-87F3-4CA6-BF49-FA239EA851F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176">
        <xdr:nvSpPr>
          <xdr:cNvPr id="3234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5ADDAB7-2672-4E04-AC5B-16A96C2A04D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2800</a:t>
            </a:fld>
            <a:endParaRPr lang="en-US"/>
          </a:p>
        </xdr:txBody>
      </xdr:sp>
      <xdr:sp macro="" textlink="L176">
        <xdr:nvSpPr>
          <xdr:cNvPr id="3235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764F3BB-4A37-4ED5-8128-9E2E9F49C0E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</a:t>
            </a:fld>
            <a:endParaRPr lang="en-US"/>
          </a:p>
        </xdr:txBody>
      </xdr:sp>
      <xdr:sp macro="" textlink="M176">
        <xdr:nvSpPr>
          <xdr:cNvPr id="3236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7CF125C-0243-40C4-BF55-098F8D0BD8F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">
        <xdr:nvSpPr>
          <xdr:cNvPr id="3237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238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176</xdr:row>
      <xdr:rowOff>66675</xdr:rowOff>
    </xdr:from>
    <xdr:to>
      <xdr:col>18</xdr:col>
      <xdr:colOff>1666875</xdr:colOff>
      <xdr:row>176</xdr:row>
      <xdr:rowOff>247650</xdr:rowOff>
    </xdr:to>
    <xdr:grpSp>
      <xdr:nvGrpSpPr>
        <xdr:cNvPr id="3239" name="Group 3085"/>
        <xdr:cNvGrpSpPr>
          <a:grpSpLocks/>
        </xdr:cNvGrpSpPr>
      </xdr:nvGrpSpPr>
      <xdr:grpSpPr bwMode="auto">
        <a:xfrm>
          <a:off x="6124575" y="67056000"/>
          <a:ext cx="1609725" cy="180975"/>
          <a:chOff x="607" y="1007"/>
          <a:chExt cx="169" cy="19"/>
        </a:xfrm>
      </xdr:grpSpPr>
      <xdr:sp macro="" textlink="">
        <xdr:nvSpPr>
          <xdr:cNvPr id="3240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77">
        <xdr:nvSpPr>
          <xdr:cNvPr id="3241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9027699-0A5D-4A7E-A97B-DCA6F3FF03E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J177">
        <xdr:nvSpPr>
          <xdr:cNvPr id="3242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73AED37-94AC-4D27-8F92-1C993DB082C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7200</a:t>
            </a:fld>
            <a:endParaRPr lang="en-US"/>
          </a:p>
        </xdr:txBody>
      </xdr:sp>
      <xdr:sp macro="" textlink="K177">
        <xdr:nvSpPr>
          <xdr:cNvPr id="3243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359F2A6-9DF2-4833-8622-E27C3FBB357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177</xdr:row>
      <xdr:rowOff>76200</xdr:rowOff>
    </xdr:from>
    <xdr:to>
      <xdr:col>18</xdr:col>
      <xdr:colOff>1400175</xdr:colOff>
      <xdr:row>177</xdr:row>
      <xdr:rowOff>257175</xdr:rowOff>
    </xdr:to>
    <xdr:grpSp>
      <xdr:nvGrpSpPr>
        <xdr:cNvPr id="3247" name="Group 1"/>
        <xdr:cNvGrpSpPr>
          <a:grpSpLocks/>
        </xdr:cNvGrpSpPr>
      </xdr:nvGrpSpPr>
      <xdr:grpSpPr bwMode="auto">
        <a:xfrm>
          <a:off x="6591300" y="67398900"/>
          <a:ext cx="876300" cy="180975"/>
          <a:chOff x="594" y="27"/>
          <a:chExt cx="92" cy="19"/>
        </a:xfrm>
      </xdr:grpSpPr>
      <xdr:sp macro="" textlink="">
        <xdr:nvSpPr>
          <xdr:cNvPr id="3248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78">
        <xdr:nvSpPr>
          <xdr:cNvPr id="3249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B6754BD-A76C-43E9-B25B-6150B3E721C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6000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181</xdr:row>
      <xdr:rowOff>28575</xdr:rowOff>
    </xdr:from>
    <xdr:to>
      <xdr:col>18</xdr:col>
      <xdr:colOff>1724025</xdr:colOff>
      <xdr:row>181</xdr:row>
      <xdr:rowOff>295275</xdr:rowOff>
    </xdr:to>
    <xdr:grpSp>
      <xdr:nvGrpSpPr>
        <xdr:cNvPr id="3250" name="Group 3050"/>
        <xdr:cNvGrpSpPr>
          <a:grpSpLocks/>
        </xdr:cNvGrpSpPr>
      </xdr:nvGrpSpPr>
      <xdr:grpSpPr bwMode="auto">
        <a:xfrm>
          <a:off x="6124575" y="68684775"/>
          <a:ext cx="1666875" cy="266700"/>
          <a:chOff x="589" y="376"/>
          <a:chExt cx="175" cy="28"/>
        </a:xfrm>
      </xdr:grpSpPr>
      <xdr:sp macro="" textlink="I179">
        <xdr:nvSpPr>
          <xdr:cNvPr id="3251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D05A4D9-A463-4D0E-9D49-9CE6390834C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175</a:t>
            </a:fld>
            <a:endParaRPr lang="en-US"/>
          </a:p>
        </xdr:txBody>
      </xdr:sp>
      <xdr:sp macro="" textlink="J179">
        <xdr:nvSpPr>
          <xdr:cNvPr id="3252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3E92672-D1E9-474A-AE7B-53E5388922D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300</a:t>
            </a:fld>
            <a:endParaRPr lang="en-US"/>
          </a:p>
        </xdr:txBody>
      </xdr:sp>
      <xdr:sp macro="" textlink="K179">
        <xdr:nvSpPr>
          <xdr:cNvPr id="3253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C183A2B-DBCB-450F-9785-D391F26AC18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l" rtl="0">
                <a:defRPr sz="1000"/>
              </a:pPr>
              <a:t>130</a:t>
            </a:fld>
            <a:endParaRPr lang="en-US"/>
          </a:p>
        </xdr:txBody>
      </xdr:sp>
      <xdr:sp macro="" textlink="">
        <xdr:nvSpPr>
          <xdr:cNvPr id="3254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255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179</xdr:row>
      <xdr:rowOff>66675</xdr:rowOff>
    </xdr:from>
    <xdr:to>
      <xdr:col>18</xdr:col>
      <xdr:colOff>1666875</xdr:colOff>
      <xdr:row>179</xdr:row>
      <xdr:rowOff>247650</xdr:rowOff>
    </xdr:to>
    <xdr:grpSp>
      <xdr:nvGrpSpPr>
        <xdr:cNvPr id="3256" name="Group 3085"/>
        <xdr:cNvGrpSpPr>
          <a:grpSpLocks/>
        </xdr:cNvGrpSpPr>
      </xdr:nvGrpSpPr>
      <xdr:grpSpPr bwMode="auto">
        <a:xfrm>
          <a:off x="6124575" y="68056125"/>
          <a:ext cx="1609725" cy="180975"/>
          <a:chOff x="607" y="1007"/>
          <a:chExt cx="169" cy="19"/>
        </a:xfrm>
      </xdr:grpSpPr>
      <xdr:sp macro="" textlink="">
        <xdr:nvSpPr>
          <xdr:cNvPr id="3257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80">
        <xdr:nvSpPr>
          <xdr:cNvPr id="3258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953617D-FF38-422B-8E18-66F74EFBD5F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J180">
        <xdr:nvSpPr>
          <xdr:cNvPr id="3259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B222052-241E-4A51-9700-A2215CE2551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5600</a:t>
            </a:fld>
            <a:endParaRPr lang="en-US"/>
          </a:p>
        </xdr:txBody>
      </xdr:sp>
      <xdr:sp macro="" textlink="K180">
        <xdr:nvSpPr>
          <xdr:cNvPr id="3260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DAC6B60-25C5-4093-92D5-A118BCECF17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180</xdr:row>
      <xdr:rowOff>66675</xdr:rowOff>
    </xdr:from>
    <xdr:to>
      <xdr:col>18</xdr:col>
      <xdr:colOff>1666875</xdr:colOff>
      <xdr:row>180</xdr:row>
      <xdr:rowOff>247650</xdr:rowOff>
    </xdr:to>
    <xdr:grpSp>
      <xdr:nvGrpSpPr>
        <xdr:cNvPr id="3274" name="Group 3085"/>
        <xdr:cNvGrpSpPr>
          <a:grpSpLocks/>
        </xdr:cNvGrpSpPr>
      </xdr:nvGrpSpPr>
      <xdr:grpSpPr bwMode="auto">
        <a:xfrm>
          <a:off x="6124575" y="68389500"/>
          <a:ext cx="1609725" cy="180975"/>
          <a:chOff x="607" y="1007"/>
          <a:chExt cx="169" cy="19"/>
        </a:xfrm>
      </xdr:grpSpPr>
      <xdr:sp macro="" textlink="">
        <xdr:nvSpPr>
          <xdr:cNvPr id="3275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81">
        <xdr:nvSpPr>
          <xdr:cNvPr id="3312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29F6CC1-A38B-49D1-A8BD-22C15FABB71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J181">
        <xdr:nvSpPr>
          <xdr:cNvPr id="3313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48A0E9B-2595-4B43-A162-3B62D2938C2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5600</a:t>
            </a:fld>
            <a:endParaRPr lang="en-US"/>
          </a:p>
        </xdr:txBody>
      </xdr:sp>
      <xdr:sp macro="" textlink="K181">
        <xdr:nvSpPr>
          <xdr:cNvPr id="3314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3ACAAD9-D797-4C78-97DC-9159A1F8FF7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182</xdr:row>
      <xdr:rowOff>66675</xdr:rowOff>
    </xdr:from>
    <xdr:to>
      <xdr:col>18</xdr:col>
      <xdr:colOff>1666875</xdr:colOff>
      <xdr:row>182</xdr:row>
      <xdr:rowOff>247650</xdr:rowOff>
    </xdr:to>
    <xdr:grpSp>
      <xdr:nvGrpSpPr>
        <xdr:cNvPr id="3315" name="Group 3085"/>
        <xdr:cNvGrpSpPr>
          <a:grpSpLocks/>
        </xdr:cNvGrpSpPr>
      </xdr:nvGrpSpPr>
      <xdr:grpSpPr bwMode="auto">
        <a:xfrm>
          <a:off x="6124575" y="69056250"/>
          <a:ext cx="1609725" cy="180975"/>
          <a:chOff x="607" y="1007"/>
          <a:chExt cx="169" cy="19"/>
        </a:xfrm>
      </xdr:grpSpPr>
      <xdr:sp macro="" textlink="">
        <xdr:nvSpPr>
          <xdr:cNvPr id="3331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83">
        <xdr:nvSpPr>
          <xdr:cNvPr id="3332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1AC0F2D-6A8B-45BE-887B-2A4540EF657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J183">
        <xdr:nvSpPr>
          <xdr:cNvPr id="3333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BAD0ADA-A2DC-4E70-81BC-765E6388BB1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3000</a:t>
            </a:fld>
            <a:endParaRPr lang="en-US"/>
          </a:p>
        </xdr:txBody>
      </xdr:sp>
      <xdr:sp macro="" textlink="K183">
        <xdr:nvSpPr>
          <xdr:cNvPr id="3337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7C507B00-7223-45D8-A951-07A0EA7729C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183</xdr:row>
      <xdr:rowOff>66675</xdr:rowOff>
    </xdr:from>
    <xdr:to>
      <xdr:col>18</xdr:col>
      <xdr:colOff>1666875</xdr:colOff>
      <xdr:row>183</xdr:row>
      <xdr:rowOff>247650</xdr:rowOff>
    </xdr:to>
    <xdr:grpSp>
      <xdr:nvGrpSpPr>
        <xdr:cNvPr id="3343" name="Group 3085"/>
        <xdr:cNvGrpSpPr>
          <a:grpSpLocks/>
        </xdr:cNvGrpSpPr>
      </xdr:nvGrpSpPr>
      <xdr:grpSpPr bwMode="auto">
        <a:xfrm>
          <a:off x="6124575" y="69389625"/>
          <a:ext cx="1609725" cy="180975"/>
          <a:chOff x="607" y="1007"/>
          <a:chExt cx="169" cy="19"/>
        </a:xfrm>
      </xdr:grpSpPr>
      <xdr:sp macro="" textlink="">
        <xdr:nvSpPr>
          <xdr:cNvPr id="3344" name="Freeform 8"/>
          <xdr:cNvSpPr>
            <a:spLocks/>
          </xdr:cNvSpPr>
        </xdr:nvSpPr>
        <xdr:spPr bwMode="auto">
          <a:xfrm>
            <a:off x="660" y="1008"/>
            <a:ext cx="63" cy="18"/>
          </a:xfrm>
          <a:custGeom>
            <a:avLst/>
            <a:gdLst>
              <a:gd name="T0" fmla="*/ 0 w 63"/>
              <a:gd name="T1" fmla="*/ 0 h 18"/>
              <a:gd name="T2" fmla="*/ 0 w 63"/>
              <a:gd name="T3" fmla="*/ 15 h 18"/>
              <a:gd name="T4" fmla="*/ 2 w 63"/>
              <a:gd name="T5" fmla="*/ 18 h 18"/>
              <a:gd name="T6" fmla="*/ 60 w 63"/>
              <a:gd name="T7" fmla="*/ 18 h 18"/>
              <a:gd name="T8" fmla="*/ 63 w 63"/>
              <a:gd name="T9" fmla="*/ 15 h 18"/>
              <a:gd name="T10" fmla="*/ 63 w 63"/>
              <a:gd name="T11" fmla="*/ 0 h 1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63" h="18">
                <a:moveTo>
                  <a:pt x="0" y="0"/>
                </a:moveTo>
                <a:cubicBezTo>
                  <a:pt x="0" y="2"/>
                  <a:pt x="0" y="12"/>
                  <a:pt x="0" y="15"/>
                </a:cubicBezTo>
                <a:cubicBezTo>
                  <a:pt x="0" y="18"/>
                  <a:pt x="2" y="18"/>
                  <a:pt x="2" y="18"/>
                </a:cubicBezTo>
                <a:lnTo>
                  <a:pt x="60" y="18"/>
                </a:lnTo>
                <a:cubicBezTo>
                  <a:pt x="60" y="18"/>
                  <a:pt x="63" y="18"/>
                  <a:pt x="63" y="15"/>
                </a:cubicBezTo>
                <a:cubicBezTo>
                  <a:pt x="63" y="7"/>
                  <a:pt x="63" y="0"/>
                  <a:pt x="63" y="0"/>
                </a:cubicBez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84">
        <xdr:nvSpPr>
          <xdr:cNvPr id="3345" name="Text Box 9"/>
          <xdr:cNvSpPr txBox="1">
            <a:spLocks noChangeArrowheads="1" noTextEdit="1"/>
          </xdr:cNvSpPr>
        </xdr:nvSpPr>
        <xdr:spPr bwMode="auto">
          <a:xfrm>
            <a:off x="60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D610FD6-F696-4018-9BDD-D9D04813925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J184">
        <xdr:nvSpPr>
          <xdr:cNvPr id="3346" name="Text Box 10"/>
          <xdr:cNvSpPr txBox="1">
            <a:spLocks noChangeArrowheads="1" noTextEdit="1"/>
          </xdr:cNvSpPr>
        </xdr:nvSpPr>
        <xdr:spPr bwMode="auto">
          <a:xfrm>
            <a:off x="66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AB24B14-59C5-4259-85E4-250F7E37EA4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3000</a:t>
            </a:fld>
            <a:endParaRPr lang="en-US"/>
          </a:p>
        </xdr:txBody>
      </xdr:sp>
      <xdr:sp macro="" textlink="K184">
        <xdr:nvSpPr>
          <xdr:cNvPr id="3347" name="Text Box 11"/>
          <xdr:cNvSpPr txBox="1">
            <a:spLocks noChangeArrowheads="1" noTextEdit="1"/>
          </xdr:cNvSpPr>
        </xdr:nvSpPr>
        <xdr:spPr bwMode="auto">
          <a:xfrm>
            <a:off x="727" y="100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251855B-7226-4D8E-AF39-02A46AAF446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184</xdr:row>
      <xdr:rowOff>28575</xdr:rowOff>
    </xdr:from>
    <xdr:to>
      <xdr:col>18</xdr:col>
      <xdr:colOff>1724025</xdr:colOff>
      <xdr:row>184</xdr:row>
      <xdr:rowOff>295275</xdr:rowOff>
    </xdr:to>
    <xdr:grpSp>
      <xdr:nvGrpSpPr>
        <xdr:cNvPr id="3354" name="Group 3050"/>
        <xdr:cNvGrpSpPr>
          <a:grpSpLocks/>
        </xdr:cNvGrpSpPr>
      </xdr:nvGrpSpPr>
      <xdr:grpSpPr bwMode="auto">
        <a:xfrm>
          <a:off x="6124575" y="69684900"/>
          <a:ext cx="1666875" cy="266700"/>
          <a:chOff x="589" y="376"/>
          <a:chExt cx="175" cy="28"/>
        </a:xfrm>
      </xdr:grpSpPr>
      <xdr:sp macro="" textlink="I185">
        <xdr:nvSpPr>
          <xdr:cNvPr id="3355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868100E-1728-445B-BAA1-A1F94469D72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175</a:t>
            </a:fld>
            <a:endParaRPr lang="en-US"/>
          </a:p>
        </xdr:txBody>
      </xdr:sp>
      <xdr:sp macro="" textlink="J185">
        <xdr:nvSpPr>
          <xdr:cNvPr id="3356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9F8D2D5-6493-42EB-B633-3F5DF5C7EB6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185">
        <xdr:nvSpPr>
          <xdr:cNvPr id="3357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D373976-31B4-441A-82FF-3D3EFEB607E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130</a:t>
            </a:fld>
            <a:endParaRPr lang="en-US"/>
          </a:p>
        </xdr:txBody>
      </xdr:sp>
      <xdr:sp macro="" textlink="">
        <xdr:nvSpPr>
          <xdr:cNvPr id="3358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359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185</xdr:row>
      <xdr:rowOff>47625</xdr:rowOff>
    </xdr:from>
    <xdr:to>
      <xdr:col>18</xdr:col>
      <xdr:colOff>1933575</xdr:colOff>
      <xdr:row>185</xdr:row>
      <xdr:rowOff>285750</xdr:rowOff>
    </xdr:to>
    <xdr:grpSp>
      <xdr:nvGrpSpPr>
        <xdr:cNvPr id="3414" name="Group 3094"/>
        <xdr:cNvGrpSpPr>
          <a:grpSpLocks/>
        </xdr:cNvGrpSpPr>
      </xdr:nvGrpSpPr>
      <xdr:grpSpPr bwMode="auto">
        <a:xfrm>
          <a:off x="6124575" y="70037325"/>
          <a:ext cx="1876425" cy="238125"/>
          <a:chOff x="626" y="613"/>
          <a:chExt cx="197" cy="25"/>
        </a:xfrm>
      </xdr:grpSpPr>
      <xdr:sp macro="" textlink="I186">
        <xdr:nvSpPr>
          <xdr:cNvPr id="3415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66A3C4B-07C7-4513-9FBA-0EC5782FD0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500</a:t>
            </a:fld>
            <a:endParaRPr lang="en-US"/>
          </a:p>
        </xdr:txBody>
      </xdr:sp>
      <xdr:sp macro="" textlink="J186">
        <xdr:nvSpPr>
          <xdr:cNvPr id="3424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9D556B3B-921F-40F2-841A-105936A4FDD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186">
        <xdr:nvSpPr>
          <xdr:cNvPr id="3425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1C6A7BC-B2D4-4C7C-B275-4D74B8E2ED9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2800</a:t>
            </a:fld>
            <a:endParaRPr lang="en-US"/>
          </a:p>
        </xdr:txBody>
      </xdr:sp>
      <xdr:sp macro="" textlink="L186">
        <xdr:nvSpPr>
          <xdr:cNvPr id="3426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4988DC8-4A67-49DE-9989-32F4D36AEB6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</a:t>
            </a:fld>
            <a:endParaRPr lang="en-US"/>
          </a:p>
        </xdr:txBody>
      </xdr:sp>
      <xdr:sp macro="" textlink="M186">
        <xdr:nvSpPr>
          <xdr:cNvPr id="3448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35FAC33-E629-4BD5-ABD3-32BB463465D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">
        <xdr:nvSpPr>
          <xdr:cNvPr id="3449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450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186</xdr:row>
      <xdr:rowOff>76200</xdr:rowOff>
    </xdr:from>
    <xdr:to>
      <xdr:col>18</xdr:col>
      <xdr:colOff>1400175</xdr:colOff>
      <xdr:row>186</xdr:row>
      <xdr:rowOff>257175</xdr:rowOff>
    </xdr:to>
    <xdr:grpSp>
      <xdr:nvGrpSpPr>
        <xdr:cNvPr id="3482" name="Group 1"/>
        <xdr:cNvGrpSpPr>
          <a:grpSpLocks/>
        </xdr:cNvGrpSpPr>
      </xdr:nvGrpSpPr>
      <xdr:grpSpPr bwMode="auto">
        <a:xfrm>
          <a:off x="6591300" y="70399275"/>
          <a:ext cx="876300" cy="180975"/>
          <a:chOff x="594" y="27"/>
          <a:chExt cx="92" cy="19"/>
        </a:xfrm>
      </xdr:grpSpPr>
      <xdr:sp macro="" textlink="">
        <xdr:nvSpPr>
          <xdr:cNvPr id="3483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87">
        <xdr:nvSpPr>
          <xdr:cNvPr id="3484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9530C4B-106C-4F0F-9942-DBE92FFAC9A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2600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187</xdr:row>
      <xdr:rowOff>57150</xdr:rowOff>
    </xdr:from>
    <xdr:to>
      <xdr:col>18</xdr:col>
      <xdr:colOff>1905000</xdr:colOff>
      <xdr:row>187</xdr:row>
      <xdr:rowOff>647700</xdr:rowOff>
    </xdr:to>
    <xdr:grpSp>
      <xdr:nvGrpSpPr>
        <xdr:cNvPr id="3496" name="Group 2968"/>
        <xdr:cNvGrpSpPr>
          <a:grpSpLocks/>
        </xdr:cNvGrpSpPr>
      </xdr:nvGrpSpPr>
      <xdr:grpSpPr bwMode="auto">
        <a:xfrm>
          <a:off x="6124575" y="70713600"/>
          <a:ext cx="1847850" cy="590550"/>
          <a:chOff x="543" y="12509"/>
          <a:chExt cx="194" cy="62"/>
        </a:xfrm>
      </xdr:grpSpPr>
      <xdr:sp macro="" textlink="">
        <xdr:nvSpPr>
          <xdr:cNvPr id="3497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88">
        <xdr:nvSpPr>
          <xdr:cNvPr id="3498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BF0A808-36E2-4DE8-9C03-ECA553FD02B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500</a:t>
            </a:fld>
            <a:endParaRPr lang="en-US"/>
          </a:p>
        </xdr:txBody>
      </xdr:sp>
      <xdr:sp macro="" textlink="J188">
        <xdr:nvSpPr>
          <xdr:cNvPr id="3499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FFEB994-D87E-4758-B106-C58FA6FA244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188">
        <xdr:nvSpPr>
          <xdr:cNvPr id="3523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B257985-BA42-4B3F-8A2C-45DD54E6B7A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1800</a:t>
            </a:fld>
            <a:endParaRPr lang="en-US"/>
          </a:p>
        </xdr:txBody>
      </xdr:sp>
      <xdr:sp macro="" textlink="L188">
        <xdr:nvSpPr>
          <xdr:cNvPr id="3524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9C6B1D7-5D3D-4CA1-B8C2-C60D3E84566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</a:t>
            </a:fld>
            <a:endParaRPr lang="en-US"/>
          </a:p>
        </xdr:txBody>
      </xdr:sp>
      <xdr:sp macro="" textlink="M188">
        <xdr:nvSpPr>
          <xdr:cNvPr id="3525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6A557525-51C6-4DC8-9B37-96894A8E3C6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500</a:t>
            </a:fld>
            <a:endParaRPr lang="en-US"/>
          </a:p>
        </xdr:txBody>
      </xdr:sp>
      <xdr:sp macro="" textlink="">
        <xdr:nvSpPr>
          <xdr:cNvPr id="3526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31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32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188">
        <xdr:nvSpPr>
          <xdr:cNvPr id="3533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3E6F40A-DA2C-4CA9-BA9A-C3D3088E440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188</xdr:row>
      <xdr:rowOff>76200</xdr:rowOff>
    </xdr:from>
    <xdr:to>
      <xdr:col>18</xdr:col>
      <xdr:colOff>1400175</xdr:colOff>
      <xdr:row>188</xdr:row>
      <xdr:rowOff>257175</xdr:rowOff>
    </xdr:to>
    <xdr:grpSp>
      <xdr:nvGrpSpPr>
        <xdr:cNvPr id="3543" name="Group 1"/>
        <xdr:cNvGrpSpPr>
          <a:grpSpLocks/>
        </xdr:cNvGrpSpPr>
      </xdr:nvGrpSpPr>
      <xdr:grpSpPr bwMode="auto">
        <a:xfrm>
          <a:off x="6591300" y="71427975"/>
          <a:ext cx="876300" cy="180975"/>
          <a:chOff x="594" y="27"/>
          <a:chExt cx="92" cy="19"/>
        </a:xfrm>
      </xdr:grpSpPr>
      <xdr:sp macro="" textlink="">
        <xdr:nvSpPr>
          <xdr:cNvPr id="3544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89">
        <xdr:nvSpPr>
          <xdr:cNvPr id="3545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B220290-C297-4AA2-8CAB-DF58F7864A1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2800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189</xdr:row>
      <xdr:rowOff>57150</xdr:rowOff>
    </xdr:from>
    <xdr:to>
      <xdr:col>18</xdr:col>
      <xdr:colOff>1905000</xdr:colOff>
      <xdr:row>189</xdr:row>
      <xdr:rowOff>647700</xdr:rowOff>
    </xdr:to>
    <xdr:grpSp>
      <xdr:nvGrpSpPr>
        <xdr:cNvPr id="3546" name="Group 2968"/>
        <xdr:cNvGrpSpPr>
          <a:grpSpLocks/>
        </xdr:cNvGrpSpPr>
      </xdr:nvGrpSpPr>
      <xdr:grpSpPr bwMode="auto">
        <a:xfrm>
          <a:off x="6124575" y="71742300"/>
          <a:ext cx="1847850" cy="590550"/>
          <a:chOff x="543" y="12509"/>
          <a:chExt cx="194" cy="62"/>
        </a:xfrm>
      </xdr:grpSpPr>
      <xdr:sp macro="" textlink="">
        <xdr:nvSpPr>
          <xdr:cNvPr id="3547" name="Freeform 2969"/>
          <xdr:cNvSpPr>
            <a:spLocks/>
          </xdr:cNvSpPr>
        </xdr:nvSpPr>
        <xdr:spPr bwMode="auto">
          <a:xfrm>
            <a:off x="557" y="12526"/>
            <a:ext cx="154" cy="27"/>
          </a:xfrm>
          <a:custGeom>
            <a:avLst/>
            <a:gdLst>
              <a:gd name="T0" fmla="*/ 0 w 154"/>
              <a:gd name="T1" fmla="*/ 0 h 27"/>
              <a:gd name="T2" fmla="*/ 32 w 154"/>
              <a:gd name="T3" fmla="*/ 0 h 27"/>
              <a:gd name="T4" fmla="*/ 59 w 154"/>
              <a:gd name="T5" fmla="*/ 27 h 27"/>
              <a:gd name="T6" fmla="*/ 106 w 154"/>
              <a:gd name="T7" fmla="*/ 27 h 27"/>
              <a:gd name="T8" fmla="*/ 133 w 154"/>
              <a:gd name="T9" fmla="*/ 0 h 27"/>
              <a:gd name="T10" fmla="*/ 154 w 154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54" h="27">
                <a:moveTo>
                  <a:pt x="0" y="0"/>
                </a:moveTo>
                <a:lnTo>
                  <a:pt x="32" y="0"/>
                </a:lnTo>
                <a:lnTo>
                  <a:pt x="59" y="27"/>
                </a:lnTo>
                <a:lnTo>
                  <a:pt x="106" y="27"/>
                </a:lnTo>
                <a:lnTo>
                  <a:pt x="133" y="0"/>
                </a:lnTo>
                <a:lnTo>
                  <a:pt x="154" y="0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90">
        <xdr:nvSpPr>
          <xdr:cNvPr id="3548" name="Text Box 2970"/>
          <xdr:cNvSpPr txBox="1">
            <a:spLocks noChangeArrowheads="1" noTextEdit="1"/>
          </xdr:cNvSpPr>
        </xdr:nvSpPr>
        <xdr:spPr bwMode="auto">
          <a:xfrm>
            <a:off x="543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D99C128F-FCE7-40E8-B360-F00C1A0CC60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500</a:t>
            </a:fld>
            <a:endParaRPr lang="en-US"/>
          </a:p>
        </xdr:txBody>
      </xdr:sp>
      <xdr:sp macro="" textlink="J190">
        <xdr:nvSpPr>
          <xdr:cNvPr id="3563" name="Text Box 2971"/>
          <xdr:cNvSpPr txBox="1">
            <a:spLocks noChangeArrowheads="1" noTextEdit="1"/>
          </xdr:cNvSpPr>
        </xdr:nvSpPr>
        <xdr:spPr bwMode="auto">
          <a:xfrm>
            <a:off x="608" y="125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CDC99B93-F443-474D-90B0-14D25B7F4C0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190">
        <xdr:nvSpPr>
          <xdr:cNvPr id="3564" name="Text Box 2972"/>
          <xdr:cNvSpPr txBox="1">
            <a:spLocks noChangeArrowheads="1" noTextEdit="1"/>
          </xdr:cNvSpPr>
        </xdr:nvSpPr>
        <xdr:spPr bwMode="auto">
          <a:xfrm>
            <a:off x="616" y="1255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4B90DD73-3F6D-417B-8531-B61238029F0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2800</a:t>
            </a:fld>
            <a:endParaRPr lang="en-US"/>
          </a:p>
        </xdr:txBody>
      </xdr:sp>
      <xdr:sp macro="" textlink="L190">
        <xdr:nvSpPr>
          <xdr:cNvPr id="3565" name="Text Box 2973"/>
          <xdr:cNvSpPr txBox="1">
            <a:spLocks noChangeArrowheads="1" noTextEdit="1"/>
          </xdr:cNvSpPr>
        </xdr:nvSpPr>
        <xdr:spPr bwMode="auto">
          <a:xfrm>
            <a:off x="677" y="1253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04ACB69-94FC-4648-A210-BF485C0DEEF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</a:t>
            </a:fld>
            <a:endParaRPr lang="en-US"/>
          </a:p>
        </xdr:txBody>
      </xdr:sp>
      <xdr:sp macro="" textlink="M190">
        <xdr:nvSpPr>
          <xdr:cNvPr id="3585" name="Text Box 2974"/>
          <xdr:cNvSpPr txBox="1">
            <a:spLocks noChangeArrowheads="1" noTextEdit="1"/>
          </xdr:cNvSpPr>
        </xdr:nvSpPr>
        <xdr:spPr bwMode="auto">
          <a:xfrm>
            <a:off x="688" y="1250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B2067C0D-5AB6-42B9-9E17-03C6F2D584D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500</a:t>
            </a:fld>
            <a:endParaRPr lang="en-US"/>
          </a:p>
        </xdr:txBody>
      </xdr:sp>
      <xdr:sp macro="" textlink="">
        <xdr:nvSpPr>
          <xdr:cNvPr id="3586" name="Freeform 2975"/>
          <xdr:cNvSpPr>
            <a:spLocks/>
          </xdr:cNvSpPr>
        </xdr:nvSpPr>
        <xdr:spPr bwMode="auto">
          <a:xfrm>
            <a:off x="671" y="12526"/>
            <a:ext cx="56" cy="27"/>
          </a:xfrm>
          <a:custGeom>
            <a:avLst/>
            <a:gdLst>
              <a:gd name="T0" fmla="*/ 56 w 56"/>
              <a:gd name="T1" fmla="*/ 27 h 27"/>
              <a:gd name="T2" fmla="*/ 0 w 56"/>
              <a:gd name="T3" fmla="*/ 27 h 27"/>
              <a:gd name="T4" fmla="*/ 56 w 56"/>
              <a:gd name="T5" fmla="*/ 27 h 27"/>
              <a:gd name="T6" fmla="*/ 56 w 56"/>
              <a:gd name="T7" fmla="*/ 0 h 27"/>
              <a:gd name="T8" fmla="*/ 47 w 56"/>
              <a:gd name="T9" fmla="*/ 0 h 27"/>
              <a:gd name="T10" fmla="*/ 56 w 56"/>
              <a:gd name="T11" fmla="*/ 0 h 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56" h="27">
                <a:moveTo>
                  <a:pt x="56" y="27"/>
                </a:moveTo>
                <a:lnTo>
                  <a:pt x="0" y="27"/>
                </a:lnTo>
                <a:lnTo>
                  <a:pt x="56" y="27"/>
                </a:lnTo>
                <a:lnTo>
                  <a:pt x="56" y="0"/>
                </a:lnTo>
                <a:lnTo>
                  <a:pt x="47" y="0"/>
                </a:lnTo>
                <a:lnTo>
                  <a:pt x="56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87" name="Freeform 2976"/>
          <xdr:cNvSpPr>
            <a:spLocks/>
          </xdr:cNvSpPr>
        </xdr:nvSpPr>
        <xdr:spPr bwMode="auto">
          <a:xfrm>
            <a:off x="593" y="12519"/>
            <a:ext cx="32" cy="30"/>
          </a:xfrm>
          <a:custGeom>
            <a:avLst/>
            <a:gdLst>
              <a:gd name="T0" fmla="*/ 31 w 31"/>
              <a:gd name="T1" fmla="*/ 25 h 29"/>
              <a:gd name="T2" fmla="*/ 26 w 31"/>
              <a:gd name="T3" fmla="*/ 29 h 29"/>
              <a:gd name="T4" fmla="*/ 31 w 31"/>
              <a:gd name="T5" fmla="*/ 25 h 29"/>
              <a:gd name="T6" fmla="*/ 5 w 31"/>
              <a:gd name="T7" fmla="*/ 0 h 29"/>
              <a:gd name="T8" fmla="*/ 0 w 31"/>
              <a:gd name="T9" fmla="*/ 5 h 29"/>
              <a:gd name="T10" fmla="*/ 5 w 31"/>
              <a:gd name="T11" fmla="*/ 0 h 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1" h="29">
                <a:moveTo>
                  <a:pt x="31" y="25"/>
                </a:moveTo>
                <a:lnTo>
                  <a:pt x="26" y="29"/>
                </a:lnTo>
                <a:lnTo>
                  <a:pt x="31" y="25"/>
                </a:lnTo>
                <a:lnTo>
                  <a:pt x="5" y="0"/>
                </a:lnTo>
                <a:lnTo>
                  <a:pt x="0" y="5"/>
                </a:lnTo>
                <a:lnTo>
                  <a:pt x="5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588" name="Freeform 2977"/>
          <xdr:cNvSpPr>
            <a:spLocks/>
          </xdr:cNvSpPr>
        </xdr:nvSpPr>
        <xdr:spPr bwMode="auto">
          <a:xfrm rot="2700000">
            <a:off x="668" y="12516"/>
            <a:ext cx="6" cy="36"/>
          </a:xfrm>
          <a:custGeom>
            <a:avLst/>
            <a:gdLst>
              <a:gd name="T0" fmla="*/ 0 w 9"/>
              <a:gd name="T1" fmla="*/ 0 h 41"/>
              <a:gd name="T2" fmla="*/ 9 w 9"/>
              <a:gd name="T3" fmla="*/ 0 h 41"/>
              <a:gd name="T4" fmla="*/ 0 w 9"/>
              <a:gd name="T5" fmla="*/ 0 h 41"/>
              <a:gd name="T6" fmla="*/ 0 w 9"/>
              <a:gd name="T7" fmla="*/ 41 h 41"/>
              <a:gd name="T8" fmla="*/ 9 w 9"/>
              <a:gd name="T9" fmla="*/ 41 h 41"/>
              <a:gd name="T10" fmla="*/ 0 w 9"/>
              <a:gd name="T11" fmla="*/ 41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" h="41">
                <a:moveTo>
                  <a:pt x="0" y="0"/>
                </a:moveTo>
                <a:lnTo>
                  <a:pt x="9" y="0"/>
                </a:lnTo>
                <a:lnTo>
                  <a:pt x="0" y="0"/>
                </a:lnTo>
                <a:lnTo>
                  <a:pt x="0" y="41"/>
                </a:lnTo>
                <a:lnTo>
                  <a:pt x="9" y="41"/>
                </a:lnTo>
                <a:lnTo>
                  <a:pt x="0" y="41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J190">
        <xdr:nvSpPr>
          <xdr:cNvPr id="3589" name="Text Box 2978"/>
          <xdr:cNvSpPr txBox="1">
            <a:spLocks noChangeArrowheads="1" noTextEdit="1"/>
          </xdr:cNvSpPr>
        </xdr:nvSpPr>
        <xdr:spPr bwMode="auto">
          <a:xfrm>
            <a:off x="615" y="1252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053628A-1B24-493E-9C79-93A6377B9A3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</xdr:grpSp>
    <xdr:clientData/>
  </xdr:twoCellAnchor>
  <xdr:twoCellAnchor>
    <xdr:from>
      <xdr:col>18</xdr:col>
      <xdr:colOff>523875</xdr:colOff>
      <xdr:row>190</xdr:row>
      <xdr:rowOff>76200</xdr:rowOff>
    </xdr:from>
    <xdr:to>
      <xdr:col>18</xdr:col>
      <xdr:colOff>1400175</xdr:colOff>
      <xdr:row>190</xdr:row>
      <xdr:rowOff>257175</xdr:rowOff>
    </xdr:to>
    <xdr:grpSp>
      <xdr:nvGrpSpPr>
        <xdr:cNvPr id="3593" name="Group 1"/>
        <xdr:cNvGrpSpPr>
          <a:grpSpLocks/>
        </xdr:cNvGrpSpPr>
      </xdr:nvGrpSpPr>
      <xdr:grpSpPr bwMode="auto">
        <a:xfrm>
          <a:off x="6591300" y="72456675"/>
          <a:ext cx="876300" cy="180975"/>
          <a:chOff x="594" y="27"/>
          <a:chExt cx="92" cy="19"/>
        </a:xfrm>
      </xdr:grpSpPr>
      <xdr:sp macro="" textlink="">
        <xdr:nvSpPr>
          <xdr:cNvPr id="3594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91">
        <xdr:nvSpPr>
          <xdr:cNvPr id="3595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DDAF13BF-C405-47B2-B0AC-13CA19BD4AB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2700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191</xdr:row>
      <xdr:rowOff>47625</xdr:rowOff>
    </xdr:from>
    <xdr:to>
      <xdr:col>18</xdr:col>
      <xdr:colOff>1933575</xdr:colOff>
      <xdr:row>191</xdr:row>
      <xdr:rowOff>285750</xdr:rowOff>
    </xdr:to>
    <xdr:grpSp>
      <xdr:nvGrpSpPr>
        <xdr:cNvPr id="3596" name="Group 3094"/>
        <xdr:cNvGrpSpPr>
          <a:grpSpLocks/>
        </xdr:cNvGrpSpPr>
      </xdr:nvGrpSpPr>
      <xdr:grpSpPr bwMode="auto">
        <a:xfrm>
          <a:off x="6124575" y="72761475"/>
          <a:ext cx="1876425" cy="238125"/>
          <a:chOff x="626" y="613"/>
          <a:chExt cx="197" cy="25"/>
        </a:xfrm>
      </xdr:grpSpPr>
      <xdr:sp macro="" textlink="I192">
        <xdr:nvSpPr>
          <xdr:cNvPr id="3597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91D5856-E6EA-4E45-99C8-8EA424D2A2B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500</a:t>
            </a:fld>
            <a:endParaRPr lang="en-US"/>
          </a:p>
        </xdr:txBody>
      </xdr:sp>
      <xdr:sp macro="" textlink="J192">
        <xdr:nvSpPr>
          <xdr:cNvPr id="3598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1446977F-5847-48BF-8897-3E715DC2FE3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192">
        <xdr:nvSpPr>
          <xdr:cNvPr id="3599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BC25D72-C402-4C43-B61D-745F16A1FC2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1700</a:t>
            </a:fld>
            <a:endParaRPr lang="en-US"/>
          </a:p>
        </xdr:txBody>
      </xdr:sp>
      <xdr:sp macro="" textlink="L192">
        <xdr:nvSpPr>
          <xdr:cNvPr id="3600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DAD07559-088A-49B0-AE49-61914B96605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</a:t>
            </a:fld>
            <a:endParaRPr lang="en-US"/>
          </a:p>
        </xdr:txBody>
      </xdr:sp>
      <xdr:sp macro="" textlink="M192">
        <xdr:nvSpPr>
          <xdr:cNvPr id="3601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4E131BE-EC0A-4AE6-8146-1D46B2D04EC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">
        <xdr:nvSpPr>
          <xdr:cNvPr id="3602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603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192</xdr:row>
      <xdr:rowOff>47625</xdr:rowOff>
    </xdr:from>
    <xdr:to>
      <xdr:col>18</xdr:col>
      <xdr:colOff>1933575</xdr:colOff>
      <xdr:row>192</xdr:row>
      <xdr:rowOff>285750</xdr:rowOff>
    </xdr:to>
    <xdr:grpSp>
      <xdr:nvGrpSpPr>
        <xdr:cNvPr id="3604" name="Group 3094"/>
        <xdr:cNvGrpSpPr>
          <a:grpSpLocks/>
        </xdr:cNvGrpSpPr>
      </xdr:nvGrpSpPr>
      <xdr:grpSpPr bwMode="auto">
        <a:xfrm>
          <a:off x="6124575" y="73094850"/>
          <a:ext cx="1876425" cy="238125"/>
          <a:chOff x="626" y="613"/>
          <a:chExt cx="197" cy="25"/>
        </a:xfrm>
      </xdr:grpSpPr>
      <xdr:sp macro="" textlink="I193">
        <xdr:nvSpPr>
          <xdr:cNvPr id="3605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395D622-4DA9-4CAE-A0BA-47CEFD6E85C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500</a:t>
            </a:fld>
            <a:endParaRPr lang="en-US"/>
          </a:p>
        </xdr:txBody>
      </xdr:sp>
      <xdr:sp macro="" textlink="J193">
        <xdr:nvSpPr>
          <xdr:cNvPr id="3606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6D3F5441-8548-45B9-B6A6-2610683267D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193">
        <xdr:nvSpPr>
          <xdr:cNvPr id="3607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899C067-E968-4E54-97EA-314C3E73B18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3800</a:t>
            </a:fld>
            <a:endParaRPr lang="en-US"/>
          </a:p>
        </xdr:txBody>
      </xdr:sp>
      <xdr:sp macro="" textlink="L193">
        <xdr:nvSpPr>
          <xdr:cNvPr id="3608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DCB3C8A-BFEE-448A-AFC1-F55AFF052836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</a:t>
            </a:fld>
            <a:endParaRPr lang="en-US"/>
          </a:p>
        </xdr:txBody>
      </xdr:sp>
      <xdr:sp macro="" textlink="M193">
        <xdr:nvSpPr>
          <xdr:cNvPr id="3609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0AD3E58-3573-410F-B1EC-841B20E46F0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">
        <xdr:nvSpPr>
          <xdr:cNvPr id="3610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611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523875</xdr:colOff>
      <xdr:row>193</xdr:row>
      <xdr:rowOff>76200</xdr:rowOff>
    </xdr:from>
    <xdr:to>
      <xdr:col>18</xdr:col>
      <xdr:colOff>1400175</xdr:colOff>
      <xdr:row>193</xdr:row>
      <xdr:rowOff>257175</xdr:rowOff>
    </xdr:to>
    <xdr:grpSp>
      <xdr:nvGrpSpPr>
        <xdr:cNvPr id="3615" name="Group 1"/>
        <xdr:cNvGrpSpPr>
          <a:grpSpLocks/>
        </xdr:cNvGrpSpPr>
      </xdr:nvGrpSpPr>
      <xdr:grpSpPr bwMode="auto">
        <a:xfrm>
          <a:off x="6591300" y="73456800"/>
          <a:ext cx="876300" cy="180975"/>
          <a:chOff x="594" y="27"/>
          <a:chExt cx="92" cy="19"/>
        </a:xfrm>
      </xdr:grpSpPr>
      <xdr:sp macro="" textlink="">
        <xdr:nvSpPr>
          <xdr:cNvPr id="3616" name="Line 2"/>
          <xdr:cNvSpPr>
            <a:spLocks noChangeShapeType="1"/>
          </xdr:cNvSpPr>
        </xdr:nvSpPr>
        <xdr:spPr bwMode="auto">
          <a:xfrm>
            <a:off x="594" y="44"/>
            <a:ext cx="92" cy="0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I194">
        <xdr:nvSpPr>
          <xdr:cNvPr id="3617" name="Text Box 3"/>
          <xdr:cNvSpPr txBox="1">
            <a:spLocks noChangeArrowheads="1" noTextEdit="1"/>
          </xdr:cNvSpPr>
        </xdr:nvSpPr>
        <xdr:spPr bwMode="auto">
          <a:xfrm>
            <a:off x="616" y="2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AC6DB96D-9A46-4EB6-BFC3-5BDBF2D1442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12100</a:t>
            </a:fld>
            <a:endParaRPr lang="en-US"/>
          </a:p>
        </xdr:txBody>
      </xdr:sp>
    </xdr:grpSp>
    <xdr:clientData/>
  </xdr:twoCellAnchor>
  <xdr:twoCellAnchor>
    <xdr:from>
      <xdr:col>18</xdr:col>
      <xdr:colOff>57150</xdr:colOff>
      <xdr:row>194</xdr:row>
      <xdr:rowOff>47625</xdr:rowOff>
    </xdr:from>
    <xdr:to>
      <xdr:col>18</xdr:col>
      <xdr:colOff>1933575</xdr:colOff>
      <xdr:row>194</xdr:row>
      <xdr:rowOff>285750</xdr:rowOff>
    </xdr:to>
    <xdr:grpSp>
      <xdr:nvGrpSpPr>
        <xdr:cNvPr id="3618" name="Group 3094"/>
        <xdr:cNvGrpSpPr>
          <a:grpSpLocks/>
        </xdr:cNvGrpSpPr>
      </xdr:nvGrpSpPr>
      <xdr:grpSpPr bwMode="auto">
        <a:xfrm>
          <a:off x="6124575" y="73761600"/>
          <a:ext cx="1876425" cy="238125"/>
          <a:chOff x="626" y="613"/>
          <a:chExt cx="197" cy="25"/>
        </a:xfrm>
      </xdr:grpSpPr>
      <xdr:sp macro="" textlink="I195">
        <xdr:nvSpPr>
          <xdr:cNvPr id="3619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B59D7BA2-5C4E-47BD-8D02-29D430D41B1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500</a:t>
            </a:fld>
            <a:endParaRPr lang="en-US"/>
          </a:p>
        </xdr:txBody>
      </xdr:sp>
      <xdr:sp macro="" textlink="J195">
        <xdr:nvSpPr>
          <xdr:cNvPr id="3620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B90EAFA7-0B8F-4955-8948-6D6A865193E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195">
        <xdr:nvSpPr>
          <xdr:cNvPr id="3621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166F5D4-E2CE-472F-B80F-6CF1B1C2D38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2700</a:t>
            </a:fld>
            <a:endParaRPr lang="en-US"/>
          </a:p>
        </xdr:txBody>
      </xdr:sp>
      <xdr:sp macro="" textlink="L195">
        <xdr:nvSpPr>
          <xdr:cNvPr id="3622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ABC09D7-B3DA-47FC-8728-4E98E2CC994F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</a:t>
            </a:fld>
            <a:endParaRPr lang="en-US"/>
          </a:p>
        </xdr:txBody>
      </xdr:sp>
      <xdr:sp macro="" textlink="M195">
        <xdr:nvSpPr>
          <xdr:cNvPr id="3623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5C9A12B0-E02F-4CD9-A538-A5AF567DEEB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">
        <xdr:nvSpPr>
          <xdr:cNvPr id="3624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625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195</xdr:row>
      <xdr:rowOff>28575</xdr:rowOff>
    </xdr:from>
    <xdr:to>
      <xdr:col>18</xdr:col>
      <xdr:colOff>1724025</xdr:colOff>
      <xdr:row>195</xdr:row>
      <xdr:rowOff>295275</xdr:rowOff>
    </xdr:to>
    <xdr:grpSp>
      <xdr:nvGrpSpPr>
        <xdr:cNvPr id="3626" name="Group 3050"/>
        <xdr:cNvGrpSpPr>
          <a:grpSpLocks/>
        </xdr:cNvGrpSpPr>
      </xdr:nvGrpSpPr>
      <xdr:grpSpPr bwMode="auto">
        <a:xfrm>
          <a:off x="6124575" y="74075925"/>
          <a:ext cx="1666875" cy="266700"/>
          <a:chOff x="589" y="376"/>
          <a:chExt cx="175" cy="28"/>
        </a:xfrm>
      </xdr:grpSpPr>
      <xdr:sp macro="" textlink="I196">
        <xdr:nvSpPr>
          <xdr:cNvPr id="3627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91467F18-C86E-4C9C-9B4C-D1115D6D3B9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175</a:t>
            </a:fld>
            <a:endParaRPr lang="en-US"/>
          </a:p>
        </xdr:txBody>
      </xdr:sp>
      <xdr:sp macro="" textlink="J196">
        <xdr:nvSpPr>
          <xdr:cNvPr id="3628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9398778-4308-4ADC-8317-064F81D8430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196">
        <xdr:nvSpPr>
          <xdr:cNvPr id="3629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A7192EDE-C4AF-4C61-BA46-28586787926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130</a:t>
            </a:fld>
            <a:endParaRPr lang="en-US"/>
          </a:p>
        </xdr:txBody>
      </xdr:sp>
      <xdr:sp macro="" textlink="">
        <xdr:nvSpPr>
          <xdr:cNvPr id="3630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631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196</xdr:row>
      <xdr:rowOff>47625</xdr:rowOff>
    </xdr:from>
    <xdr:to>
      <xdr:col>18</xdr:col>
      <xdr:colOff>1933575</xdr:colOff>
      <xdr:row>196</xdr:row>
      <xdr:rowOff>285750</xdr:rowOff>
    </xdr:to>
    <xdr:grpSp>
      <xdr:nvGrpSpPr>
        <xdr:cNvPr id="3698" name="Group 3094"/>
        <xdr:cNvGrpSpPr>
          <a:grpSpLocks/>
        </xdr:cNvGrpSpPr>
      </xdr:nvGrpSpPr>
      <xdr:grpSpPr bwMode="auto">
        <a:xfrm>
          <a:off x="6124575" y="74428350"/>
          <a:ext cx="1876425" cy="238125"/>
          <a:chOff x="626" y="613"/>
          <a:chExt cx="197" cy="25"/>
        </a:xfrm>
      </xdr:grpSpPr>
      <xdr:sp macro="" textlink="I197">
        <xdr:nvSpPr>
          <xdr:cNvPr id="3699" name="Text Box 3095"/>
          <xdr:cNvSpPr txBox="1">
            <a:spLocks noChangeArrowheads="1" noTextEdit="1"/>
          </xdr:cNvSpPr>
        </xdr:nvSpPr>
        <xdr:spPr bwMode="auto">
          <a:xfrm>
            <a:off x="647" y="619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1071C01B-ADD0-49EB-965C-6D591F096F2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500</a:t>
            </a:fld>
            <a:endParaRPr lang="en-US"/>
          </a:p>
        </xdr:txBody>
      </xdr:sp>
      <xdr:sp macro="" textlink="J197">
        <xdr:nvSpPr>
          <xdr:cNvPr id="3700" name="Text Box 3096"/>
          <xdr:cNvSpPr txBox="1">
            <a:spLocks noChangeArrowheads="1" noTextEdit="1"/>
          </xdr:cNvSpPr>
        </xdr:nvSpPr>
        <xdr:spPr bwMode="auto">
          <a:xfrm>
            <a:off x="660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F362D398-A0DA-4CA9-81DF-85650AF0504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197">
        <xdr:nvSpPr>
          <xdr:cNvPr id="3701" name="Text Box 3097"/>
          <xdr:cNvSpPr txBox="1">
            <a:spLocks noChangeArrowheads="1" noTextEdit="1"/>
          </xdr:cNvSpPr>
        </xdr:nvSpPr>
        <xdr:spPr bwMode="auto">
          <a:xfrm>
            <a:off x="723" y="61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9B95A52-5317-4D3E-8CCB-669A4D99EC9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10100</a:t>
            </a:fld>
            <a:endParaRPr lang="en-US"/>
          </a:p>
        </xdr:txBody>
      </xdr:sp>
      <xdr:sp macro="" textlink="L197">
        <xdr:nvSpPr>
          <xdr:cNvPr id="3702" name="Text Box 3098"/>
          <xdr:cNvSpPr txBox="1">
            <a:spLocks noChangeArrowheads="1" noTextEdit="1"/>
          </xdr:cNvSpPr>
        </xdr:nvSpPr>
        <xdr:spPr bwMode="auto">
          <a:xfrm>
            <a:off x="628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2E0D8BFC-4EAD-4A34-B54D-4874DF560CA4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</a:t>
            </a:fld>
            <a:endParaRPr lang="en-US"/>
          </a:p>
        </xdr:txBody>
      </xdr:sp>
      <xdr:sp macro="" textlink="M197">
        <xdr:nvSpPr>
          <xdr:cNvPr id="3703" name="Text Box 3099"/>
          <xdr:cNvSpPr txBox="1">
            <a:spLocks noChangeArrowheads="1" noTextEdit="1"/>
          </xdr:cNvSpPr>
        </xdr:nvSpPr>
        <xdr:spPr bwMode="auto">
          <a:xfrm>
            <a:off x="774" y="61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875A6590-9955-45BA-ADD4-1F2D249B913D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">
        <xdr:nvSpPr>
          <xdr:cNvPr id="3704" name="Freeform 3100"/>
          <xdr:cNvSpPr>
            <a:spLocks/>
          </xdr:cNvSpPr>
        </xdr:nvSpPr>
        <xdr:spPr bwMode="auto">
          <a:xfrm>
            <a:off x="648" y="614"/>
            <a:ext cx="123" cy="23"/>
          </a:xfrm>
          <a:custGeom>
            <a:avLst/>
            <a:gdLst>
              <a:gd name="T0" fmla="*/ 0 w 123"/>
              <a:gd name="T1" fmla="*/ 23 h 23"/>
              <a:gd name="T2" fmla="*/ 48 w 123"/>
              <a:gd name="T3" fmla="*/ 23 h 23"/>
              <a:gd name="T4" fmla="*/ 78 w 123"/>
              <a:gd name="T5" fmla="*/ 0 h 23"/>
              <a:gd name="T6" fmla="*/ 120 w 123"/>
              <a:gd name="T7" fmla="*/ 0 h 23"/>
              <a:gd name="T8" fmla="*/ 123 w 123"/>
              <a:gd name="T9" fmla="*/ 3 h 23"/>
              <a:gd name="T10" fmla="*/ 123 w 123"/>
              <a:gd name="T11" fmla="*/ 18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23" h="23">
                <a:moveTo>
                  <a:pt x="0" y="23"/>
                </a:moveTo>
                <a:lnTo>
                  <a:pt x="48" y="23"/>
                </a:lnTo>
                <a:lnTo>
                  <a:pt x="78" y="0"/>
                </a:lnTo>
                <a:cubicBezTo>
                  <a:pt x="78" y="0"/>
                  <a:pt x="99" y="0"/>
                  <a:pt x="120" y="0"/>
                </a:cubicBezTo>
                <a:cubicBezTo>
                  <a:pt x="123" y="0"/>
                  <a:pt x="123" y="3"/>
                  <a:pt x="123" y="3"/>
                </a:cubicBezTo>
                <a:lnTo>
                  <a:pt x="123" y="18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705" name="Freeform 3101"/>
          <xdr:cNvSpPr>
            <a:spLocks/>
          </xdr:cNvSpPr>
        </xdr:nvSpPr>
        <xdr:spPr bwMode="auto">
          <a:xfrm>
            <a:off x="626" y="614"/>
            <a:ext cx="91" cy="23"/>
          </a:xfrm>
          <a:custGeom>
            <a:avLst/>
            <a:gdLst>
              <a:gd name="T0" fmla="*/ 0 w 91"/>
              <a:gd name="T1" fmla="*/ 0 h 23"/>
              <a:gd name="T2" fmla="*/ 91 w 91"/>
              <a:gd name="T3" fmla="*/ 0 h 23"/>
              <a:gd name="T4" fmla="*/ 0 w 91"/>
              <a:gd name="T5" fmla="*/ 0 h 23"/>
              <a:gd name="T6" fmla="*/ 0 w 91"/>
              <a:gd name="T7" fmla="*/ 23 h 23"/>
              <a:gd name="T8" fmla="*/ 16 w 91"/>
              <a:gd name="T9" fmla="*/ 23 h 23"/>
              <a:gd name="T10" fmla="*/ 0 w 91"/>
              <a:gd name="T11" fmla="*/ 23 h 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91" h="23">
                <a:moveTo>
                  <a:pt x="0" y="0"/>
                </a:moveTo>
                <a:lnTo>
                  <a:pt x="91" y="0"/>
                </a:lnTo>
                <a:lnTo>
                  <a:pt x="0" y="0"/>
                </a:lnTo>
                <a:lnTo>
                  <a:pt x="0" y="23"/>
                </a:lnTo>
                <a:lnTo>
                  <a:pt x="16" y="23"/>
                </a:lnTo>
                <a:lnTo>
                  <a:pt x="0" y="23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197</xdr:row>
      <xdr:rowOff>19050</xdr:rowOff>
    </xdr:from>
    <xdr:to>
      <xdr:col>18</xdr:col>
      <xdr:colOff>1905000</xdr:colOff>
      <xdr:row>197</xdr:row>
      <xdr:rowOff>304800</xdr:rowOff>
    </xdr:to>
    <xdr:grpSp>
      <xdr:nvGrpSpPr>
        <xdr:cNvPr id="3713" name="Group 3092"/>
        <xdr:cNvGrpSpPr>
          <a:grpSpLocks/>
        </xdr:cNvGrpSpPr>
      </xdr:nvGrpSpPr>
      <xdr:grpSpPr bwMode="auto">
        <a:xfrm>
          <a:off x="6115050" y="74733150"/>
          <a:ext cx="1857375" cy="285750"/>
          <a:chOff x="606" y="2035"/>
          <a:chExt cx="195" cy="30"/>
        </a:xfrm>
      </xdr:grpSpPr>
      <xdr:sp macro="" textlink="I198">
        <xdr:nvSpPr>
          <xdr:cNvPr id="3714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76FE9A2-9961-46AC-8FD6-71CA26B4F5C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500</a:t>
            </a:fld>
            <a:endParaRPr lang="en-US"/>
          </a:p>
        </xdr:txBody>
      </xdr:sp>
      <xdr:sp macro="" textlink="J198">
        <xdr:nvSpPr>
          <xdr:cNvPr id="3715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A2C83AC-6859-4A95-AA7B-F414A6BF7242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198">
        <xdr:nvSpPr>
          <xdr:cNvPr id="3716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E08064B-BE26-4F57-8115-94B1D09527D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11000</a:t>
            </a:fld>
            <a:endParaRPr lang="en-US"/>
          </a:p>
        </xdr:txBody>
      </xdr:sp>
      <xdr:sp macro="" textlink="">
        <xdr:nvSpPr>
          <xdr:cNvPr id="3717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198">
        <xdr:nvSpPr>
          <xdr:cNvPr id="3718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998A134F-9F13-4A29-B78E-2EE94E23877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</a:t>
            </a:fld>
            <a:endParaRPr lang="en-US"/>
          </a:p>
        </xdr:txBody>
      </xdr:sp>
      <xdr:sp macro="" textlink="">
        <xdr:nvSpPr>
          <xdr:cNvPr id="3719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198</xdr:row>
      <xdr:rowOff>47625</xdr:rowOff>
    </xdr:from>
    <xdr:to>
      <xdr:col>18</xdr:col>
      <xdr:colOff>1219200</xdr:colOff>
      <xdr:row>198</xdr:row>
      <xdr:rowOff>276225</xdr:rowOff>
    </xdr:to>
    <xdr:grpSp>
      <xdr:nvGrpSpPr>
        <xdr:cNvPr id="3724" name="Group 4"/>
        <xdr:cNvGrpSpPr>
          <a:grpSpLocks/>
        </xdr:cNvGrpSpPr>
      </xdr:nvGrpSpPr>
      <xdr:grpSpPr bwMode="auto">
        <a:xfrm>
          <a:off x="6124575" y="75095100"/>
          <a:ext cx="1162050" cy="228600"/>
          <a:chOff x="545" y="97"/>
          <a:chExt cx="122" cy="24"/>
        </a:xfrm>
      </xdr:grpSpPr>
      <xdr:sp macro="" textlink="">
        <xdr:nvSpPr>
          <xdr:cNvPr id="3725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199">
        <xdr:nvSpPr>
          <xdr:cNvPr id="3726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CE6E1584-0789-4FE4-B186-753057EA381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J199">
        <xdr:nvSpPr>
          <xdr:cNvPr id="3727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54E29F37-8B9B-443A-B6E4-190229C666D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10100</a:t>
            </a:fld>
            <a:endParaRPr lang="en-US"/>
          </a:p>
        </xdr:txBody>
      </xdr:sp>
    </xdr:grpSp>
    <xdr:clientData/>
  </xdr:twoCellAnchor>
  <xdr:twoCellAnchor>
    <xdr:from>
      <xdr:col>18</xdr:col>
      <xdr:colOff>47625</xdr:colOff>
      <xdr:row>199</xdr:row>
      <xdr:rowOff>19050</xdr:rowOff>
    </xdr:from>
    <xdr:to>
      <xdr:col>18</xdr:col>
      <xdr:colOff>1905000</xdr:colOff>
      <xdr:row>199</xdr:row>
      <xdr:rowOff>304800</xdr:rowOff>
    </xdr:to>
    <xdr:grpSp>
      <xdr:nvGrpSpPr>
        <xdr:cNvPr id="3735" name="Group 3092"/>
        <xdr:cNvGrpSpPr>
          <a:grpSpLocks/>
        </xdr:cNvGrpSpPr>
      </xdr:nvGrpSpPr>
      <xdr:grpSpPr bwMode="auto">
        <a:xfrm>
          <a:off x="6115050" y="75399900"/>
          <a:ext cx="1857375" cy="285750"/>
          <a:chOff x="606" y="2035"/>
          <a:chExt cx="195" cy="30"/>
        </a:xfrm>
      </xdr:grpSpPr>
      <xdr:sp macro="" textlink="I200">
        <xdr:nvSpPr>
          <xdr:cNvPr id="3736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343ED298-2A71-46BB-8B05-3E49C73C1FF0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500</a:t>
            </a:fld>
            <a:endParaRPr lang="en-US"/>
          </a:p>
        </xdr:txBody>
      </xdr:sp>
      <xdr:sp macro="" textlink="J200">
        <xdr:nvSpPr>
          <xdr:cNvPr id="3737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848D58B1-51CD-4543-865F-BD1D5549EE35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200">
        <xdr:nvSpPr>
          <xdr:cNvPr id="3738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DC3662F-853D-4305-AA2C-117C565C663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10600</a:t>
            </a:fld>
            <a:endParaRPr lang="en-US"/>
          </a:p>
        </xdr:txBody>
      </xdr:sp>
      <xdr:sp macro="" textlink="">
        <xdr:nvSpPr>
          <xdr:cNvPr id="3739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200">
        <xdr:nvSpPr>
          <xdr:cNvPr id="3740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0276B2E1-3AB3-4984-8B55-0CE8C6AF3EE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</a:t>
            </a:fld>
            <a:endParaRPr lang="en-US"/>
          </a:p>
        </xdr:txBody>
      </xdr:sp>
      <xdr:sp macro="" textlink="">
        <xdr:nvSpPr>
          <xdr:cNvPr id="3741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202</xdr:row>
      <xdr:rowOff>28575</xdr:rowOff>
    </xdr:from>
    <xdr:to>
      <xdr:col>18</xdr:col>
      <xdr:colOff>1724025</xdr:colOff>
      <xdr:row>202</xdr:row>
      <xdr:rowOff>295275</xdr:rowOff>
    </xdr:to>
    <xdr:grpSp>
      <xdr:nvGrpSpPr>
        <xdr:cNvPr id="3750" name="Group 3050"/>
        <xdr:cNvGrpSpPr>
          <a:grpSpLocks/>
        </xdr:cNvGrpSpPr>
      </xdr:nvGrpSpPr>
      <xdr:grpSpPr bwMode="auto">
        <a:xfrm>
          <a:off x="6124575" y="76409550"/>
          <a:ext cx="1666875" cy="266700"/>
          <a:chOff x="589" y="376"/>
          <a:chExt cx="175" cy="28"/>
        </a:xfrm>
      </xdr:grpSpPr>
      <xdr:sp macro="" textlink="I203">
        <xdr:nvSpPr>
          <xdr:cNvPr id="3751" name="Text Box 3051"/>
          <xdr:cNvSpPr txBox="1">
            <a:spLocks noChangeArrowheads="1" noTextEdit="1"/>
          </xdr:cNvSpPr>
        </xdr:nvSpPr>
        <xdr:spPr bwMode="auto">
          <a:xfrm>
            <a:off x="645" y="384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77F8C501-B62E-4583-9B59-2FDDCC47DD69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175</a:t>
            </a:fld>
            <a:endParaRPr lang="en-US"/>
          </a:p>
        </xdr:txBody>
      </xdr:sp>
      <xdr:sp macro="" textlink="J203">
        <xdr:nvSpPr>
          <xdr:cNvPr id="3752" name="Text Box 3052"/>
          <xdr:cNvSpPr txBox="1">
            <a:spLocks noChangeArrowheads="1" noTextEdit="1"/>
          </xdr:cNvSpPr>
        </xdr:nvSpPr>
        <xdr:spPr bwMode="auto">
          <a:xfrm>
            <a:off x="589" y="383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AECD060E-4FD3-4AA9-921A-1299C6AE2C78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203">
        <xdr:nvSpPr>
          <xdr:cNvPr id="3753" name="Text Box 3053"/>
          <xdr:cNvSpPr txBox="1">
            <a:spLocks noChangeArrowheads="1" noTextEdit="1"/>
          </xdr:cNvSpPr>
        </xdr:nvSpPr>
        <xdr:spPr bwMode="auto">
          <a:xfrm>
            <a:off x="715" y="37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1730A039-1C9E-43A3-9C0B-324FCDA8FF7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130</a:t>
            </a:fld>
            <a:endParaRPr lang="en-US"/>
          </a:p>
        </xdr:txBody>
      </xdr:sp>
      <xdr:sp macro="" textlink="">
        <xdr:nvSpPr>
          <xdr:cNvPr id="3754" name="Freeform 3054"/>
          <xdr:cNvSpPr>
            <a:spLocks/>
          </xdr:cNvSpPr>
        </xdr:nvSpPr>
        <xdr:spPr bwMode="auto">
          <a:xfrm>
            <a:off x="640" y="378"/>
            <a:ext cx="60" cy="26"/>
          </a:xfrm>
          <a:custGeom>
            <a:avLst/>
            <a:gdLst>
              <a:gd name="T0" fmla="*/ 60 w 60"/>
              <a:gd name="T1" fmla="*/ 17 h 26"/>
              <a:gd name="T2" fmla="*/ 60 w 60"/>
              <a:gd name="T3" fmla="*/ 3 h 26"/>
              <a:gd name="T4" fmla="*/ 56 w 60"/>
              <a:gd name="T5" fmla="*/ 0 h 26"/>
              <a:gd name="T6" fmla="*/ 3 w 60"/>
              <a:gd name="T7" fmla="*/ 0 h 26"/>
              <a:gd name="T8" fmla="*/ 0 w 60"/>
              <a:gd name="T9" fmla="*/ 4 h 26"/>
              <a:gd name="T10" fmla="*/ 0 w 60"/>
              <a:gd name="T11" fmla="*/ 23 h 26"/>
              <a:gd name="T12" fmla="*/ 2 w 60"/>
              <a:gd name="T13" fmla="*/ 26 h 26"/>
              <a:gd name="T14" fmla="*/ 54 w 60"/>
              <a:gd name="T15" fmla="*/ 26 h 26"/>
              <a:gd name="T16" fmla="*/ 58 w 60"/>
              <a:gd name="T17" fmla="*/ 23 h 26"/>
              <a:gd name="T18" fmla="*/ 58 w 60"/>
              <a:gd name="T19" fmla="*/ 5 h 26"/>
              <a:gd name="T20" fmla="*/ 54 w 60"/>
              <a:gd name="T21" fmla="*/ 2 h 26"/>
              <a:gd name="T22" fmla="*/ 39 w 60"/>
              <a:gd name="T23" fmla="*/ 2 h 2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</a:cxnLst>
            <a:rect l="0" t="0" r="r" b="b"/>
            <a:pathLst>
              <a:path w="60" h="26">
                <a:moveTo>
                  <a:pt x="60" y="17"/>
                </a:moveTo>
                <a:cubicBezTo>
                  <a:pt x="60" y="17"/>
                  <a:pt x="60" y="10"/>
                  <a:pt x="60" y="3"/>
                </a:cubicBezTo>
                <a:cubicBezTo>
                  <a:pt x="60" y="0"/>
                  <a:pt x="56" y="0"/>
                  <a:pt x="56" y="0"/>
                </a:cubicBezTo>
                <a:cubicBezTo>
                  <a:pt x="56" y="0"/>
                  <a:pt x="29" y="0"/>
                  <a:pt x="3" y="0"/>
                </a:cubicBezTo>
                <a:cubicBezTo>
                  <a:pt x="0" y="0"/>
                  <a:pt x="0" y="4"/>
                  <a:pt x="0" y="4"/>
                </a:cubicBezTo>
                <a:cubicBezTo>
                  <a:pt x="0" y="4"/>
                  <a:pt x="0" y="13"/>
                  <a:pt x="0" y="23"/>
                </a:cubicBezTo>
                <a:cubicBezTo>
                  <a:pt x="0" y="26"/>
                  <a:pt x="2" y="26"/>
                  <a:pt x="2" y="26"/>
                </a:cubicBezTo>
                <a:lnTo>
                  <a:pt x="54" y="26"/>
                </a:lnTo>
                <a:cubicBezTo>
                  <a:pt x="54" y="26"/>
                  <a:pt x="58" y="26"/>
                  <a:pt x="58" y="23"/>
                </a:cubicBezTo>
                <a:cubicBezTo>
                  <a:pt x="58" y="23"/>
                  <a:pt x="58" y="14"/>
                  <a:pt x="58" y="5"/>
                </a:cubicBezTo>
                <a:cubicBezTo>
                  <a:pt x="58" y="2"/>
                  <a:pt x="54" y="2"/>
                  <a:pt x="54" y="2"/>
                </a:cubicBezTo>
                <a:lnTo>
                  <a:pt x="39" y="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3755" name="Freeform 3055"/>
          <xdr:cNvSpPr>
            <a:spLocks/>
          </xdr:cNvSpPr>
        </xdr:nvSpPr>
        <xdr:spPr bwMode="auto">
          <a:xfrm>
            <a:off x="703" y="378"/>
            <a:ext cx="8" cy="17"/>
          </a:xfrm>
          <a:custGeom>
            <a:avLst/>
            <a:gdLst>
              <a:gd name="T0" fmla="*/ 11 w 11"/>
              <a:gd name="T1" fmla="*/ 41 h 41"/>
              <a:gd name="T2" fmla="*/ 0 w 11"/>
              <a:gd name="T3" fmla="*/ 41 h 41"/>
              <a:gd name="T4" fmla="*/ 11 w 11"/>
              <a:gd name="T5" fmla="*/ 41 h 41"/>
              <a:gd name="T6" fmla="*/ 11 w 11"/>
              <a:gd name="T7" fmla="*/ 0 h 41"/>
              <a:gd name="T8" fmla="*/ 2 w 11"/>
              <a:gd name="T9" fmla="*/ 0 h 41"/>
              <a:gd name="T10" fmla="*/ 11 w 11"/>
              <a:gd name="T11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1" h="41">
                <a:moveTo>
                  <a:pt x="11" y="41"/>
                </a:moveTo>
                <a:lnTo>
                  <a:pt x="0" y="41"/>
                </a:lnTo>
                <a:lnTo>
                  <a:pt x="11" y="41"/>
                </a:lnTo>
                <a:lnTo>
                  <a:pt x="11" y="0"/>
                </a:lnTo>
                <a:lnTo>
                  <a:pt x="2" y="0"/>
                </a:lnTo>
                <a:lnTo>
                  <a:pt x="11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47625</xdr:colOff>
      <xdr:row>200</xdr:row>
      <xdr:rowOff>19050</xdr:rowOff>
    </xdr:from>
    <xdr:to>
      <xdr:col>18</xdr:col>
      <xdr:colOff>1905000</xdr:colOff>
      <xdr:row>200</xdr:row>
      <xdr:rowOff>304800</xdr:rowOff>
    </xdr:to>
    <xdr:grpSp>
      <xdr:nvGrpSpPr>
        <xdr:cNvPr id="3767" name="Group 3092"/>
        <xdr:cNvGrpSpPr>
          <a:grpSpLocks/>
        </xdr:cNvGrpSpPr>
      </xdr:nvGrpSpPr>
      <xdr:grpSpPr bwMode="auto">
        <a:xfrm>
          <a:off x="6115050" y="75733275"/>
          <a:ext cx="1857375" cy="285750"/>
          <a:chOff x="606" y="2035"/>
          <a:chExt cx="195" cy="30"/>
        </a:xfrm>
      </xdr:grpSpPr>
      <xdr:sp macro="" textlink="I201">
        <xdr:nvSpPr>
          <xdr:cNvPr id="3768" name="Text Box 1691"/>
          <xdr:cNvSpPr txBox="1">
            <a:spLocks noChangeArrowheads="1" noTextEdit="1"/>
          </xdr:cNvSpPr>
        </xdr:nvSpPr>
        <xdr:spPr bwMode="auto">
          <a:xfrm>
            <a:off x="608" y="2046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837764B5-0070-4D27-881D-4D51662688B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500</a:t>
            </a:fld>
            <a:endParaRPr lang="en-US"/>
          </a:p>
        </xdr:txBody>
      </xdr:sp>
      <xdr:sp macro="" textlink="J201">
        <xdr:nvSpPr>
          <xdr:cNvPr id="3769" name="Text Box 1692"/>
          <xdr:cNvSpPr txBox="1">
            <a:spLocks noChangeArrowheads="1" noTextEdit="1"/>
          </xdr:cNvSpPr>
        </xdr:nvSpPr>
        <xdr:spPr bwMode="auto">
          <a:xfrm>
            <a:off x="626" y="2035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0481BA23-BB71-4734-99AF-428CC985F8EA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300</a:t>
            </a:fld>
            <a:endParaRPr lang="en-US"/>
          </a:p>
        </xdr:txBody>
      </xdr:sp>
      <xdr:sp macro="" textlink="K201">
        <xdr:nvSpPr>
          <xdr:cNvPr id="3770" name="Text Box 1693"/>
          <xdr:cNvSpPr txBox="1">
            <a:spLocks noChangeArrowheads="1" noTextEdit="1"/>
          </xdr:cNvSpPr>
        </xdr:nvSpPr>
        <xdr:spPr bwMode="auto">
          <a:xfrm>
            <a:off x="687" y="2038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52F28F3-381A-401C-83E6-5F2597542CE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9000</a:t>
            </a:fld>
            <a:endParaRPr lang="en-US"/>
          </a:p>
        </xdr:txBody>
      </xdr:sp>
      <xdr:sp macro="" textlink="">
        <xdr:nvSpPr>
          <xdr:cNvPr id="3771" name="Freeform 1694"/>
          <xdr:cNvSpPr>
            <a:spLocks/>
          </xdr:cNvSpPr>
        </xdr:nvSpPr>
        <xdr:spPr bwMode="auto">
          <a:xfrm>
            <a:off x="606" y="2039"/>
            <a:ext cx="127" cy="24"/>
          </a:xfrm>
          <a:custGeom>
            <a:avLst/>
            <a:gdLst>
              <a:gd name="T0" fmla="*/ 127 w 127"/>
              <a:gd name="T1" fmla="*/ 0 h 24"/>
              <a:gd name="T2" fmla="*/ 79 w 127"/>
              <a:gd name="T3" fmla="*/ 0 h 24"/>
              <a:gd name="T4" fmla="*/ 55 w 127"/>
              <a:gd name="T5" fmla="*/ 24 h 24"/>
              <a:gd name="T6" fmla="*/ 0 w 127"/>
              <a:gd name="T7" fmla="*/ 24 h 2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7" h="24">
                <a:moveTo>
                  <a:pt x="127" y="0"/>
                </a:moveTo>
                <a:lnTo>
                  <a:pt x="79" y="0"/>
                </a:lnTo>
                <a:lnTo>
                  <a:pt x="55" y="24"/>
                </a:lnTo>
                <a:lnTo>
                  <a:pt x="0" y="24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L201">
        <xdr:nvSpPr>
          <xdr:cNvPr id="3772" name="Text Box 1695"/>
          <xdr:cNvSpPr txBox="1">
            <a:spLocks noChangeArrowheads="1" noTextEdit="1"/>
          </xdr:cNvSpPr>
        </xdr:nvSpPr>
        <xdr:spPr bwMode="auto">
          <a:xfrm>
            <a:off x="752" y="2041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fld id="{EB231FE1-1D8B-4B5E-8CBF-3DDA255FD68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50</a:t>
            </a:fld>
            <a:endParaRPr lang="en-US"/>
          </a:p>
        </xdr:txBody>
      </xdr:sp>
      <xdr:sp macro="" textlink="">
        <xdr:nvSpPr>
          <xdr:cNvPr id="3773" name="Freeform 1696"/>
          <xdr:cNvSpPr>
            <a:spLocks/>
          </xdr:cNvSpPr>
        </xdr:nvSpPr>
        <xdr:spPr bwMode="auto">
          <a:xfrm>
            <a:off x="671" y="2038"/>
            <a:ext cx="78" cy="24"/>
          </a:xfrm>
          <a:custGeom>
            <a:avLst/>
            <a:gdLst>
              <a:gd name="T0" fmla="*/ 78 w 78"/>
              <a:gd name="T1" fmla="*/ 35 h 35"/>
              <a:gd name="T2" fmla="*/ 0 w 78"/>
              <a:gd name="T3" fmla="*/ 35 h 35"/>
              <a:gd name="T4" fmla="*/ 78 w 78"/>
              <a:gd name="T5" fmla="*/ 35 h 35"/>
              <a:gd name="T6" fmla="*/ 78 w 78"/>
              <a:gd name="T7" fmla="*/ 0 h 35"/>
              <a:gd name="T8" fmla="*/ 67 w 78"/>
              <a:gd name="T9" fmla="*/ 0 h 35"/>
              <a:gd name="T10" fmla="*/ 78 w 78"/>
              <a:gd name="T11" fmla="*/ 0 h 3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78" h="35">
                <a:moveTo>
                  <a:pt x="78" y="35"/>
                </a:moveTo>
                <a:lnTo>
                  <a:pt x="0" y="35"/>
                </a:lnTo>
                <a:lnTo>
                  <a:pt x="78" y="35"/>
                </a:lnTo>
                <a:lnTo>
                  <a:pt x="78" y="0"/>
                </a:lnTo>
                <a:lnTo>
                  <a:pt x="67" y="0"/>
                </a:lnTo>
                <a:lnTo>
                  <a:pt x="78" y="0"/>
                </a:lnTo>
              </a:path>
            </a:pathLst>
          </a:custGeom>
          <a:noFill/>
          <a:ln w="3175" cap="flat" cmpd="sng">
            <a:solidFill>
              <a:srgbClr val="000000"/>
            </a:solidFill>
            <a:prstDash val="solid"/>
            <a:round/>
            <a:headEnd type="oval" w="sm" len="sm"/>
            <a:tailEnd type="oval" w="sm" len="sm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18</xdr:col>
      <xdr:colOff>57150</xdr:colOff>
      <xdr:row>201</xdr:row>
      <xdr:rowOff>47625</xdr:rowOff>
    </xdr:from>
    <xdr:to>
      <xdr:col>18</xdr:col>
      <xdr:colOff>1219200</xdr:colOff>
      <xdr:row>201</xdr:row>
      <xdr:rowOff>276225</xdr:rowOff>
    </xdr:to>
    <xdr:grpSp>
      <xdr:nvGrpSpPr>
        <xdr:cNvPr id="3778" name="Group 4"/>
        <xdr:cNvGrpSpPr>
          <a:grpSpLocks/>
        </xdr:cNvGrpSpPr>
      </xdr:nvGrpSpPr>
      <xdr:grpSpPr bwMode="auto">
        <a:xfrm>
          <a:off x="6124575" y="76095225"/>
          <a:ext cx="1162050" cy="228600"/>
          <a:chOff x="545" y="97"/>
          <a:chExt cx="122" cy="24"/>
        </a:xfrm>
      </xdr:grpSpPr>
      <xdr:sp macro="" textlink="">
        <xdr:nvSpPr>
          <xdr:cNvPr id="3779" name="Freeform 5"/>
          <xdr:cNvSpPr>
            <a:spLocks/>
          </xdr:cNvSpPr>
        </xdr:nvSpPr>
        <xdr:spPr bwMode="auto">
          <a:xfrm>
            <a:off x="598" y="97"/>
            <a:ext cx="69" cy="22"/>
          </a:xfrm>
          <a:custGeom>
            <a:avLst/>
            <a:gdLst>
              <a:gd name="T0" fmla="*/ 0 w 69"/>
              <a:gd name="T1" fmla="*/ 0 h 22"/>
              <a:gd name="T2" fmla="*/ 0 w 69"/>
              <a:gd name="T3" fmla="*/ 19 h 22"/>
              <a:gd name="T4" fmla="*/ 2 w 69"/>
              <a:gd name="T5" fmla="*/ 22 h 22"/>
              <a:gd name="T6" fmla="*/ 69 w 69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9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2"/>
                  <a:pt x="2" y="22"/>
                  <a:pt x="2" y="22"/>
                </a:cubicBezTo>
                <a:lnTo>
                  <a:pt x="69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I202">
        <xdr:nvSpPr>
          <xdr:cNvPr id="3780" name="Text Box 6"/>
          <xdr:cNvSpPr txBox="1">
            <a:spLocks noChangeArrowheads="1" noTextEdit="1"/>
          </xdr:cNvSpPr>
        </xdr:nvSpPr>
        <xdr:spPr bwMode="auto">
          <a:xfrm>
            <a:off x="545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2E254184-59F5-44D6-9509-AC53057EB4B1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150</a:t>
            </a:fld>
            <a:endParaRPr lang="en-US"/>
          </a:p>
        </xdr:txBody>
      </xdr:sp>
      <xdr:sp macro="" textlink="J202">
        <xdr:nvSpPr>
          <xdr:cNvPr id="3781" name="Text Box 7"/>
          <xdr:cNvSpPr txBox="1">
            <a:spLocks noChangeArrowheads="1" noTextEdit="1"/>
          </xdr:cNvSpPr>
        </xdr:nvSpPr>
        <xdr:spPr bwMode="auto">
          <a:xfrm>
            <a:off x="609" y="102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6B06335E-8962-4106-8889-4F6FE3927CD7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11500</a:t>
            </a:fld>
            <a:endParaRPr lang="en-US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13</xdr:col>
          <xdr:colOff>171450</xdr:colOff>
          <xdr:row>7</xdr:row>
          <xdr:rowOff>133350</xdr:rowOff>
        </xdr:to>
        <xdr:sp macro="" textlink="">
          <xdr:nvSpPr>
            <xdr:cNvPr id="2049" name="MacroDisabledInform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9525</xdr:colOff>
          <xdr:row>0</xdr:row>
          <xdr:rowOff>9525</xdr:rowOff>
        </xdr:to>
        <xdr:sp macro="" textlink="">
          <xdr:nvSpPr>
            <xdr:cNvPr id="2050" name="PrintOptionLabe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152400</xdr:rowOff>
        </xdr:from>
        <xdr:to>
          <xdr:col>1</xdr:col>
          <xdr:colOff>152400</xdr:colOff>
          <xdr:row>1</xdr:row>
          <xdr:rowOff>0</xdr:rowOff>
        </xdr:to>
        <xdr:sp macro="" textlink="">
          <xdr:nvSpPr>
            <xdr:cNvPr id="2051" name="BBSProgram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104775</xdr:rowOff>
        </xdr:from>
        <xdr:to>
          <xdr:col>1</xdr:col>
          <xdr:colOff>314325</xdr:colOff>
          <xdr:row>1</xdr:row>
          <xdr:rowOff>114300</xdr:rowOff>
        </xdr:to>
        <xdr:sp macro="" textlink="">
          <xdr:nvSpPr>
            <xdr:cNvPr id="2052" name="ProgramFileFullName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</xdr:row>
          <xdr:rowOff>257175</xdr:rowOff>
        </xdr:from>
        <xdr:to>
          <xdr:col>1</xdr:col>
          <xdr:colOff>466725</xdr:colOff>
          <xdr:row>1</xdr:row>
          <xdr:rowOff>266700</xdr:rowOff>
        </xdr:to>
        <xdr:sp macro="" textlink="">
          <xdr:nvSpPr>
            <xdr:cNvPr id="2053" name="AutomaticallyOpenProgramFile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76200</xdr:colOff>
          <xdr:row>0</xdr:row>
          <xdr:rowOff>76200</xdr:rowOff>
        </xdr:to>
        <xdr:sp macro="" textlink="">
          <xdr:nvSpPr>
            <xdr:cNvPr id="2054" name="CodeColum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9525</xdr:colOff>
          <xdr:row>0</xdr:row>
          <xdr:rowOff>9525</xdr:rowOff>
        </xdr:to>
        <xdr:sp macro="" textlink="">
          <xdr:nvSpPr>
            <xdr:cNvPr id="2055" name="LastRowOfSummar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0</xdr:row>
          <xdr:rowOff>0</xdr:rowOff>
        </xdr:from>
        <xdr:to>
          <xdr:col>18</xdr:col>
          <xdr:colOff>1514475</xdr:colOff>
          <xdr:row>1</xdr:row>
          <xdr:rowOff>180975</xdr:rowOff>
        </xdr:to>
        <xdr:sp macro="" textlink="">
          <xdr:nvSpPr>
            <xdr:cNvPr id="2056" name="PrintOptionInformer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10</xdr:row>
          <xdr:rowOff>76200</xdr:rowOff>
        </xdr:from>
        <xdr:to>
          <xdr:col>29</xdr:col>
          <xdr:colOff>476250</xdr:colOff>
          <xdr:row>20</xdr:row>
          <xdr:rowOff>238125</xdr:rowOff>
        </xdr:to>
        <xdr:sp macro="" textlink="">
          <xdr:nvSpPr>
            <xdr:cNvPr id="2057" name="Guidelines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114300</xdr:colOff>
          <xdr:row>8</xdr:row>
          <xdr:rowOff>114300</xdr:rowOff>
        </xdr:from>
        <xdr:to>
          <xdr:col>23</xdr:col>
          <xdr:colOff>200025</xdr:colOff>
          <xdr:row>9</xdr:row>
          <xdr:rowOff>47625</xdr:rowOff>
        </xdr:to>
        <xdr:sp macro="" textlink="">
          <xdr:nvSpPr>
            <xdr:cNvPr id="2058" name="SaveTemplete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104775</xdr:colOff>
          <xdr:row>7</xdr:row>
          <xdr:rowOff>276225</xdr:rowOff>
        </xdr:from>
        <xdr:to>
          <xdr:col>18</xdr:col>
          <xdr:colOff>1590675</xdr:colOff>
          <xdr:row>12</xdr:row>
          <xdr:rowOff>285750</xdr:rowOff>
        </xdr:to>
        <xdr:sp macro="" textlink="">
          <xdr:nvSpPr>
            <xdr:cNvPr id="2059" name="DoNotTypeInTemplate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2</xdr:row>
          <xdr:rowOff>0</xdr:rowOff>
        </xdr:from>
        <xdr:to>
          <xdr:col>1</xdr:col>
          <xdr:colOff>619125</xdr:colOff>
          <xdr:row>2</xdr:row>
          <xdr:rowOff>9525</xdr:rowOff>
        </xdr:to>
        <xdr:sp macro="" textlink="">
          <xdr:nvSpPr>
            <xdr:cNvPr id="2060" name="Capitalization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152400</xdr:rowOff>
        </xdr:from>
        <xdr:to>
          <xdr:col>0</xdr:col>
          <xdr:colOff>161925</xdr:colOff>
          <xdr:row>1</xdr:row>
          <xdr:rowOff>0</xdr:rowOff>
        </xdr:to>
        <xdr:sp macro="" textlink="">
          <xdr:nvSpPr>
            <xdr:cNvPr id="2061" name="Registered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0</xdr:row>
          <xdr:rowOff>0</xdr:rowOff>
        </xdr:from>
        <xdr:to>
          <xdr:col>21</xdr:col>
          <xdr:colOff>428625</xdr:colOff>
          <xdr:row>1</xdr:row>
          <xdr:rowOff>66675</xdr:rowOff>
        </xdr:to>
        <xdr:sp macro="" textlink="">
          <xdr:nvSpPr>
            <xdr:cNvPr id="2062" name="Open_OptionsForm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18" Type="http://schemas.openxmlformats.org/officeDocument/2006/relationships/control" Target="../activeX/activeX17.xml"/><Relationship Id="rId26" Type="http://schemas.openxmlformats.org/officeDocument/2006/relationships/control" Target="../activeX/activeX2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8.emf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5" Type="http://schemas.openxmlformats.org/officeDocument/2006/relationships/image" Target="../media/image20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6.xml"/><Relationship Id="rId20" Type="http://schemas.openxmlformats.org/officeDocument/2006/relationships/control" Target="../activeX/activeX18.xml"/><Relationship Id="rId29" Type="http://schemas.openxmlformats.org/officeDocument/2006/relationships/image" Target="../media/image22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24" Type="http://schemas.openxmlformats.org/officeDocument/2006/relationships/control" Target="../activeX/activeX20.xml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23" Type="http://schemas.openxmlformats.org/officeDocument/2006/relationships/image" Target="../media/image19.emf"/><Relationship Id="rId28" Type="http://schemas.openxmlformats.org/officeDocument/2006/relationships/control" Target="../activeX/activeX22.xml"/><Relationship Id="rId10" Type="http://schemas.openxmlformats.org/officeDocument/2006/relationships/control" Target="../activeX/activeX13.xml"/><Relationship Id="rId19" Type="http://schemas.openxmlformats.org/officeDocument/2006/relationships/image" Target="../media/image17.emf"/><Relationship Id="rId31" Type="http://schemas.openxmlformats.org/officeDocument/2006/relationships/image" Target="../media/image23.emf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Relationship Id="rId22" Type="http://schemas.openxmlformats.org/officeDocument/2006/relationships/control" Target="../activeX/activeX19.xml"/><Relationship Id="rId27" Type="http://schemas.openxmlformats.org/officeDocument/2006/relationships/image" Target="../media/image21.emf"/><Relationship Id="rId30" Type="http://schemas.openxmlformats.org/officeDocument/2006/relationships/control" Target="../activeX/activeX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AK426"/>
  <sheetViews>
    <sheetView tabSelected="1" zoomScaleSheetLayoutView="85" workbookViewId="0">
      <pane ySplit="2" topLeftCell="A171" activePane="bottomLeft" state="frozen"/>
      <selection activeCell="T3" sqref="T3"/>
      <selection pane="bottomLeft" activeCell="I202" sqref="I202"/>
    </sheetView>
  </sheetViews>
  <sheetFormatPr defaultRowHeight="26.25" customHeight="1" x14ac:dyDescent="0.2"/>
  <cols>
    <col min="1" max="1" width="8.5703125" style="1" customWidth="1"/>
    <col min="2" max="2" width="15.85546875" style="1" customWidth="1"/>
    <col min="3" max="3" width="4.7109375" style="2" customWidth="1"/>
    <col min="4" max="5" width="5.42578125" style="1" customWidth="1"/>
    <col min="6" max="6" width="6.140625" style="2" customWidth="1"/>
    <col min="7" max="7" width="6.7109375" style="3" customWidth="1"/>
    <col min="8" max="8" width="5.42578125" style="2" customWidth="1"/>
    <col min="9" max="10" width="5.28515625" style="1" customWidth="1"/>
    <col min="11" max="15" width="4.42578125" style="1" customWidth="1"/>
    <col min="16" max="18" width="4.42578125" style="1" hidden="1" customWidth="1"/>
    <col min="19" max="19" width="30.7109375" style="1" customWidth="1"/>
    <col min="20" max="20" width="7.28515625" style="1" customWidth="1"/>
    <col min="21" max="21" width="3" style="3" customWidth="1"/>
    <col min="22" max="22" width="12.140625" style="3" customWidth="1"/>
    <col min="23" max="23" width="9.140625" style="3"/>
    <col min="24" max="24" width="10.140625" style="3" customWidth="1"/>
    <col min="25" max="37" width="9.140625" style="3"/>
    <col min="38" max="16384" width="9.140625" style="1"/>
  </cols>
  <sheetData>
    <row r="1" spans="1:37" ht="12.75" x14ac:dyDescent="0.2">
      <c r="A1" s="27"/>
      <c r="B1" s="27" t="s">
        <v>0</v>
      </c>
      <c r="C1" s="28"/>
      <c r="D1" s="27"/>
      <c r="E1" s="27"/>
      <c r="F1" s="28"/>
      <c r="G1" s="29"/>
      <c r="H1" s="28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V1" s="1"/>
      <c r="W1" s="1"/>
      <c r="X1" s="1"/>
      <c r="Y1" s="1"/>
      <c r="Z1" s="1"/>
      <c r="AA1" s="1"/>
      <c r="AB1" s="1"/>
      <c r="AC1" s="1"/>
      <c r="AD1" s="1"/>
    </row>
    <row r="2" spans="1:37" s="5" customFormat="1" ht="26.25" customHeight="1" x14ac:dyDescent="0.2">
      <c r="A2" s="30" t="s">
        <v>97</v>
      </c>
      <c r="B2" s="30" t="s">
        <v>2</v>
      </c>
      <c r="C2" s="30" t="s">
        <v>3</v>
      </c>
      <c r="D2" s="30" t="s">
        <v>4</v>
      </c>
      <c r="E2" s="30" t="s">
        <v>5</v>
      </c>
      <c r="F2" s="30" t="s">
        <v>24</v>
      </c>
      <c r="G2" s="31" t="s">
        <v>6</v>
      </c>
      <c r="H2" s="32" t="s">
        <v>7</v>
      </c>
      <c r="I2" s="30" t="s">
        <v>8</v>
      </c>
      <c r="J2" s="30" t="s">
        <v>9</v>
      </c>
      <c r="K2" s="30" t="s">
        <v>10</v>
      </c>
      <c r="L2" s="30" t="s">
        <v>11</v>
      </c>
      <c r="M2" s="30" t="s">
        <v>12</v>
      </c>
      <c r="N2" s="30" t="s">
        <v>13</v>
      </c>
      <c r="O2" s="30" t="s">
        <v>14</v>
      </c>
      <c r="P2" s="30" t="s">
        <v>15</v>
      </c>
      <c r="Q2" s="30" t="s">
        <v>25</v>
      </c>
      <c r="R2" s="30" t="s">
        <v>26</v>
      </c>
      <c r="S2" s="30" t="s">
        <v>16</v>
      </c>
      <c r="T2" s="30" t="s">
        <v>22</v>
      </c>
      <c r="U2" s="4"/>
      <c r="AE2" s="4"/>
      <c r="AF2" s="4"/>
      <c r="AG2" s="4"/>
      <c r="AH2" s="4"/>
      <c r="AI2" s="4"/>
      <c r="AJ2" s="4"/>
      <c r="AK2" s="4"/>
    </row>
    <row r="3" spans="1:37" ht="26.25" customHeight="1" x14ac:dyDescent="0.2">
      <c r="A3" s="6"/>
      <c r="B3" s="6"/>
      <c r="C3" s="7"/>
      <c r="D3" s="8"/>
      <c r="E3" s="8"/>
      <c r="F3" s="9"/>
      <c r="G3" s="10"/>
      <c r="H3" s="11"/>
      <c r="I3" s="8"/>
      <c r="J3" s="8"/>
      <c r="K3" s="8"/>
      <c r="L3" s="12"/>
      <c r="M3" s="8"/>
      <c r="N3" s="8"/>
      <c r="O3" s="8"/>
      <c r="P3" s="8"/>
      <c r="Q3" s="8"/>
      <c r="R3" s="8"/>
      <c r="S3" s="35"/>
      <c r="T3" s="34"/>
      <c r="V3" s="14" t="s">
        <v>39</v>
      </c>
      <c r="W3" s="15"/>
      <c r="X3" s="15"/>
      <c r="Y3" s="15"/>
      <c r="Z3" s="15"/>
      <c r="AA3" s="15"/>
      <c r="AB3" s="15"/>
      <c r="AC3" s="15"/>
      <c r="AD3" s="15"/>
      <c r="AE3" s="16"/>
    </row>
    <row r="4" spans="1:37" ht="26.25" customHeight="1" x14ac:dyDescent="0.2">
      <c r="A4" s="6"/>
      <c r="B4" s="6"/>
      <c r="C4" s="7"/>
      <c r="D4" s="8"/>
      <c r="E4" s="8"/>
      <c r="F4" s="9"/>
      <c r="G4" s="10"/>
      <c r="H4" s="11"/>
      <c r="I4" s="8"/>
      <c r="J4" s="8"/>
      <c r="K4" s="8"/>
      <c r="L4" s="12"/>
      <c r="M4" s="8"/>
      <c r="N4" s="8"/>
      <c r="O4" s="8"/>
      <c r="P4" s="8"/>
      <c r="Q4" s="8"/>
      <c r="R4" s="8"/>
      <c r="S4" s="35"/>
      <c r="T4" s="34"/>
      <c r="V4" s="17" t="s">
        <v>17</v>
      </c>
      <c r="W4" s="4"/>
      <c r="X4" s="74" t="s">
        <v>101</v>
      </c>
      <c r="Y4" s="75"/>
      <c r="Z4" s="75"/>
      <c r="AA4" s="75"/>
      <c r="AB4" s="75"/>
      <c r="AC4" s="75"/>
      <c r="AD4" s="4"/>
      <c r="AE4" s="16"/>
    </row>
    <row r="5" spans="1:37" ht="26.25" customHeight="1" thickBot="1" x14ac:dyDescent="0.25">
      <c r="A5" s="6"/>
      <c r="B5" s="6"/>
      <c r="C5" s="7"/>
      <c r="D5" s="8"/>
      <c r="E5" s="8"/>
      <c r="F5" s="9"/>
      <c r="G5" s="10"/>
      <c r="H5" s="11"/>
      <c r="I5" s="8"/>
      <c r="J5" s="8"/>
      <c r="K5" s="8"/>
      <c r="L5" s="12"/>
      <c r="M5" s="8"/>
      <c r="N5" s="8"/>
      <c r="O5" s="8"/>
      <c r="P5" s="8"/>
      <c r="Q5" s="8"/>
      <c r="R5" s="8"/>
      <c r="S5" s="35"/>
      <c r="T5" s="34"/>
      <c r="V5" s="17" t="s">
        <v>18</v>
      </c>
      <c r="AE5" s="16"/>
    </row>
    <row r="6" spans="1:37" ht="26.25" customHeight="1" thickTop="1" x14ac:dyDescent="0.2">
      <c r="A6" s="6"/>
      <c r="B6" s="6"/>
      <c r="C6" s="7"/>
      <c r="D6" s="8"/>
      <c r="E6" s="8"/>
      <c r="F6" s="9"/>
      <c r="G6" s="10"/>
      <c r="H6" s="11"/>
      <c r="I6" s="8"/>
      <c r="J6" s="8"/>
      <c r="K6" s="8"/>
      <c r="L6" s="12"/>
      <c r="M6" s="8"/>
      <c r="N6" s="8"/>
      <c r="O6" s="8"/>
      <c r="P6" s="8"/>
      <c r="Q6" s="8"/>
      <c r="R6" s="8"/>
      <c r="S6" s="35"/>
      <c r="T6" s="34"/>
      <c r="V6" s="18" t="s">
        <v>19</v>
      </c>
      <c r="W6" s="19"/>
      <c r="X6" s="19"/>
      <c r="Y6" s="19"/>
      <c r="Z6" s="19"/>
      <c r="AA6" s="19"/>
      <c r="AB6" s="19"/>
      <c r="AC6" s="19"/>
      <c r="AD6" s="20"/>
      <c r="AE6" s="16"/>
    </row>
    <row r="7" spans="1:37" ht="26.25" customHeight="1" x14ac:dyDescent="0.2">
      <c r="A7" s="6"/>
      <c r="B7" s="6"/>
      <c r="C7" s="7"/>
      <c r="D7" s="8"/>
      <c r="E7" s="8"/>
      <c r="F7" s="9"/>
      <c r="G7" s="10"/>
      <c r="H7" s="11"/>
      <c r="I7" s="8"/>
      <c r="J7" s="8"/>
      <c r="K7" s="8"/>
      <c r="L7" s="12"/>
      <c r="M7" s="8"/>
      <c r="N7" s="8"/>
      <c r="O7" s="8"/>
      <c r="P7" s="8"/>
      <c r="Q7" s="8"/>
      <c r="R7" s="8"/>
      <c r="S7" s="35"/>
      <c r="T7" s="34"/>
      <c r="V7" s="21" t="s">
        <v>20</v>
      </c>
      <c r="W7" s="22">
        <v>8</v>
      </c>
      <c r="X7" s="22">
        <v>10</v>
      </c>
      <c r="Y7" s="22">
        <v>12</v>
      </c>
      <c r="Z7" s="22">
        <v>16</v>
      </c>
      <c r="AA7" s="22">
        <v>20</v>
      </c>
      <c r="AB7" s="22">
        <v>25</v>
      </c>
      <c r="AC7" s="22">
        <v>32</v>
      </c>
      <c r="AD7" s="23" t="s">
        <v>21</v>
      </c>
      <c r="AE7" s="16"/>
    </row>
    <row r="8" spans="1:37" ht="26.25" customHeight="1" thickBot="1" x14ac:dyDescent="0.25">
      <c r="A8" s="6"/>
      <c r="B8" s="6"/>
      <c r="C8" s="7"/>
      <c r="D8" s="8"/>
      <c r="E8" s="8"/>
      <c r="F8" s="9"/>
      <c r="G8" s="10"/>
      <c r="H8" s="11"/>
      <c r="I8" s="8"/>
      <c r="J8" s="8"/>
      <c r="K8" s="8"/>
      <c r="L8" s="12"/>
      <c r="M8" s="8"/>
      <c r="N8" s="8"/>
      <c r="O8" s="8"/>
      <c r="P8" s="8"/>
      <c r="Q8" s="8"/>
      <c r="R8" s="8"/>
      <c r="S8" s="35"/>
      <c r="T8" s="34"/>
      <c r="V8" s="24" t="s">
        <v>22</v>
      </c>
      <c r="W8" s="25">
        <f>SUMIF($C:$C,W7,$T:$T)</f>
        <v>0</v>
      </c>
      <c r="X8" s="25">
        <f>SUMIF($C:$C,X7,$T:$T)</f>
        <v>25049.180000000011</v>
      </c>
      <c r="Y8" s="25">
        <f>SUMIF($C:$C,Y7,$T:$T)</f>
        <v>30858.105000000007</v>
      </c>
      <c r="Z8" s="25">
        <f>SUMIF($C:$C,Z7,$T:$T)</f>
        <v>10284.025000000007</v>
      </c>
      <c r="AA8" s="25">
        <f>SUMIF($C:$C,AA7,$T:$T)</f>
        <v>1766.5219999999999</v>
      </c>
      <c r="AB8" s="25">
        <f>SUMIF($C:$C,AB7,$T:$T)</f>
        <v>224.16800000000001</v>
      </c>
      <c r="AC8" s="25">
        <f>SUMIF($C:$C,AC7,$T:$T)</f>
        <v>0</v>
      </c>
      <c r="AD8" s="26">
        <f>SUM(W8:AC8)</f>
        <v>68182.000000000029</v>
      </c>
    </row>
    <row r="9" spans="1:37" ht="26.25" customHeight="1" thickTop="1" x14ac:dyDescent="0.2">
      <c r="A9" s="6"/>
      <c r="B9" s="6"/>
      <c r="C9" s="7"/>
      <c r="D9" s="8"/>
      <c r="E9" s="8"/>
      <c r="F9" s="9"/>
      <c r="G9" s="10"/>
      <c r="H9" s="11"/>
      <c r="I9" s="8"/>
      <c r="J9" s="8"/>
      <c r="K9" s="8"/>
      <c r="L9" s="12"/>
      <c r="M9" s="8"/>
      <c r="N9" s="8"/>
      <c r="O9" s="8"/>
      <c r="P9" s="8"/>
      <c r="Q9" s="8"/>
      <c r="R9" s="8"/>
      <c r="S9" s="35"/>
      <c r="T9" s="34"/>
      <c r="V9" s="39"/>
      <c r="W9" s="40"/>
      <c r="X9" s="40"/>
      <c r="Y9" s="40"/>
      <c r="Z9" s="40"/>
      <c r="AA9" s="40"/>
      <c r="AB9" s="40"/>
      <c r="AC9" s="40"/>
      <c r="AD9" s="40"/>
    </row>
    <row r="10" spans="1:37" ht="26.25" customHeight="1" x14ac:dyDescent="0.2">
      <c r="A10" s="6"/>
      <c r="B10" s="6"/>
      <c r="C10" s="7"/>
      <c r="D10" s="8"/>
      <c r="E10" s="8"/>
      <c r="F10" s="9"/>
      <c r="G10" s="10"/>
      <c r="H10" s="11"/>
      <c r="I10" s="8"/>
      <c r="J10" s="8"/>
      <c r="K10" s="8"/>
      <c r="L10" s="12"/>
      <c r="M10" s="8"/>
      <c r="N10" s="8"/>
      <c r="O10" s="8"/>
      <c r="P10" s="8"/>
      <c r="Q10" s="8"/>
      <c r="R10" s="8"/>
      <c r="S10" s="35"/>
      <c r="T10" s="34"/>
      <c r="V10" s="39"/>
      <c r="W10" s="40"/>
      <c r="X10" s="40"/>
      <c r="Y10" s="40"/>
      <c r="Z10" s="40"/>
      <c r="AA10" s="40"/>
      <c r="AB10" s="40"/>
      <c r="AC10" s="40"/>
      <c r="AD10" s="40"/>
    </row>
    <row r="11" spans="1:37" ht="26.25" customHeight="1" x14ac:dyDescent="0.2">
      <c r="A11" s="6">
        <v>1201</v>
      </c>
      <c r="B11" s="6" t="s">
        <v>28</v>
      </c>
      <c r="C11" s="7">
        <v>12</v>
      </c>
      <c r="D11" s="8">
        <v>7</v>
      </c>
      <c r="E11" s="8">
        <v>14</v>
      </c>
      <c r="F11" s="9">
        <f t="shared" ref="F11:F13" si="0">D11*E11</f>
        <v>98</v>
      </c>
      <c r="G11" s="10">
        <f t="shared" ref="G11:G22" si="1">IF(H11=200,IF(ISERROR(0/C11/D11/E11/I11/J11/K11),"VOID",ROUND(I11+J11+K11-IF(C11&lt;20,2.5*C11,3.5*C11),-1)),"FALSE")</f>
        <v>1470</v>
      </c>
      <c r="H11" s="11">
        <v>200</v>
      </c>
      <c r="I11" s="8">
        <v>200</v>
      </c>
      <c r="J11" s="8">
        <v>1100</v>
      </c>
      <c r="K11" s="8">
        <v>200</v>
      </c>
      <c r="L11" s="12"/>
      <c r="M11" s="8"/>
      <c r="N11" s="8"/>
      <c r="O11" s="8"/>
      <c r="P11" s="8"/>
      <c r="Q11" s="8"/>
      <c r="R11" s="8"/>
      <c r="S11" s="35"/>
      <c r="T11" s="34">
        <f>IF(C11="","",ROUND(CHOOSE(MATCH(C11,{5,6,7,8,10,12,14,16,18,20,22,25,28,32,40},0),0.154,0.222,0.302,0.395,0.617,0.888,1.209,1.579,1.998,2.467,2.985,3.855,4.836,6.316,9.868)*D11*E11*G11/1000,3))</f>
        <v>127.925</v>
      </c>
      <c r="V11" s="39"/>
      <c r="W11" s="40"/>
      <c r="X11" s="40"/>
      <c r="Y11" s="40"/>
      <c r="Z11" s="40"/>
      <c r="AA11" s="40"/>
      <c r="AB11" s="40"/>
      <c r="AC11" s="40"/>
      <c r="AD11" s="40"/>
    </row>
    <row r="12" spans="1:37" ht="26.25" customHeight="1" x14ac:dyDescent="0.2">
      <c r="A12" s="6">
        <v>1209</v>
      </c>
      <c r="B12" s="6" t="s">
        <v>32</v>
      </c>
      <c r="C12" s="7">
        <v>12</v>
      </c>
      <c r="D12" s="8">
        <v>5</v>
      </c>
      <c r="E12" s="8">
        <v>14</v>
      </c>
      <c r="F12" s="9">
        <f t="shared" si="0"/>
        <v>70</v>
      </c>
      <c r="G12" s="10">
        <f t="shared" si="1"/>
        <v>1570</v>
      </c>
      <c r="H12" s="11">
        <v>200</v>
      </c>
      <c r="I12" s="8">
        <v>200</v>
      </c>
      <c r="J12" s="8">
        <v>1200</v>
      </c>
      <c r="K12" s="8">
        <v>200</v>
      </c>
      <c r="L12" s="12"/>
      <c r="M12" s="8"/>
      <c r="N12" s="8"/>
      <c r="O12" s="8"/>
      <c r="P12" s="8"/>
      <c r="Q12" s="8"/>
      <c r="R12" s="8"/>
      <c r="S12" s="35"/>
      <c r="T12" s="34">
        <f>IF(C12="","",ROUND(CHOOSE(MATCH(C12,{5,6,7,8,10,12,14,16,18,20,22,25,28,32,40},0),0.154,0.222,0.302,0.395,0.617,0.888,1.209,1.579,1.998,2.467,2.985,3.855,4.836,6.316,9.868)*D12*E12*G12/1000,3))</f>
        <v>97.590999999999994</v>
      </c>
      <c r="V12" s="39"/>
      <c r="W12" s="40"/>
      <c r="X12" s="40"/>
      <c r="Y12" s="40"/>
      <c r="Z12" s="40"/>
      <c r="AA12" s="40"/>
      <c r="AB12" s="40"/>
      <c r="AC12" s="40"/>
      <c r="AD12" s="40"/>
    </row>
    <row r="13" spans="1:37" ht="26.25" customHeight="1" x14ac:dyDescent="0.2">
      <c r="A13" s="6">
        <v>1210</v>
      </c>
      <c r="B13" s="6" t="s">
        <v>33</v>
      </c>
      <c r="C13" s="7">
        <v>12</v>
      </c>
      <c r="D13" s="8">
        <v>12</v>
      </c>
      <c r="E13" s="8">
        <v>18</v>
      </c>
      <c r="F13" s="9">
        <f t="shared" si="0"/>
        <v>216</v>
      </c>
      <c r="G13" s="10">
        <f t="shared" si="1"/>
        <v>1770</v>
      </c>
      <c r="H13" s="11">
        <v>200</v>
      </c>
      <c r="I13" s="8">
        <v>250</v>
      </c>
      <c r="J13" s="8">
        <v>1300</v>
      </c>
      <c r="K13" s="8">
        <v>250</v>
      </c>
      <c r="L13" s="12"/>
      <c r="M13" s="8"/>
      <c r="N13" s="8"/>
      <c r="O13" s="8"/>
      <c r="P13" s="8"/>
      <c r="Q13" s="8"/>
      <c r="R13" s="8"/>
      <c r="S13" s="35"/>
      <c r="T13" s="34">
        <f>IF(C13="","",ROUND(CHOOSE(MATCH(C13,{5,6,7,8,10,12,14,16,18,20,22,25,28,32,40},0),0.154,0.222,0.302,0.395,0.617,0.888,1.209,1.579,1.998,2.467,2.985,3.855,4.836,6.316,9.868)*D13*E13*G13/1000,3))</f>
        <v>339.5</v>
      </c>
      <c r="V13" s="39"/>
      <c r="W13" s="40"/>
      <c r="X13" s="40"/>
      <c r="Y13" s="40"/>
      <c r="Z13" s="40"/>
      <c r="AA13" s="40"/>
      <c r="AB13" s="40"/>
      <c r="AC13" s="40"/>
      <c r="AD13" s="40"/>
    </row>
    <row r="14" spans="1:37" ht="26.25" customHeight="1" x14ac:dyDescent="0.2">
      <c r="A14" s="6">
        <v>1211</v>
      </c>
      <c r="B14" s="6" t="s">
        <v>34</v>
      </c>
      <c r="C14" s="7">
        <v>12</v>
      </c>
      <c r="D14" s="8">
        <v>2</v>
      </c>
      <c r="E14" s="8">
        <v>20</v>
      </c>
      <c r="F14" s="9">
        <f t="shared" ref="F14:F16" si="2">D14*E14</f>
        <v>40</v>
      </c>
      <c r="G14" s="10">
        <f t="shared" si="1"/>
        <v>1870</v>
      </c>
      <c r="H14" s="11">
        <v>200</v>
      </c>
      <c r="I14" s="8">
        <v>250</v>
      </c>
      <c r="J14" s="8">
        <v>1400</v>
      </c>
      <c r="K14" s="8">
        <v>250</v>
      </c>
      <c r="L14" s="12"/>
      <c r="M14" s="8"/>
      <c r="N14" s="8"/>
      <c r="O14" s="8"/>
      <c r="P14" s="8"/>
      <c r="Q14" s="8"/>
      <c r="R14" s="8"/>
      <c r="S14" s="35"/>
      <c r="T14" s="34">
        <f>IF(C14="","",ROUND(CHOOSE(MATCH(C14,{5,6,7,8,10,12,14,16,18,20,22,25,28,32,40},0),0.154,0.222,0.302,0.395,0.617,0.888,1.209,1.579,1.998,2.467,2.985,3.855,4.836,6.316,9.868)*D14*E14*G14/1000,3))</f>
        <v>66.421999999999997</v>
      </c>
      <c r="V14" s="39"/>
      <c r="W14" s="40"/>
      <c r="X14" s="40"/>
      <c r="Y14" s="40"/>
      <c r="Z14" s="40"/>
      <c r="AA14" s="40"/>
      <c r="AB14" s="40"/>
      <c r="AC14" s="40"/>
      <c r="AD14" s="40"/>
    </row>
    <row r="15" spans="1:37" ht="26.25" customHeight="1" x14ac:dyDescent="0.2">
      <c r="A15" s="6">
        <v>1215</v>
      </c>
      <c r="B15" s="6" t="s">
        <v>35</v>
      </c>
      <c r="C15" s="7">
        <v>12</v>
      </c>
      <c r="D15" s="8">
        <v>19</v>
      </c>
      <c r="E15" s="8">
        <v>24</v>
      </c>
      <c r="F15" s="9">
        <f t="shared" si="2"/>
        <v>456</v>
      </c>
      <c r="G15" s="10">
        <f t="shared" si="1"/>
        <v>2170</v>
      </c>
      <c r="H15" s="11">
        <v>200</v>
      </c>
      <c r="I15" s="8">
        <v>300</v>
      </c>
      <c r="J15" s="8">
        <v>1600</v>
      </c>
      <c r="K15" s="8">
        <v>300</v>
      </c>
      <c r="L15" s="12"/>
      <c r="M15" s="8"/>
      <c r="N15" s="8"/>
      <c r="O15" s="8"/>
      <c r="P15" s="8"/>
      <c r="Q15" s="8"/>
      <c r="R15" s="8"/>
      <c r="S15" s="35"/>
      <c r="T15" s="34">
        <f>IF(C15="","",ROUND(CHOOSE(MATCH(C15,{5,6,7,8,10,12,14,16,18,20,22,25,28,32,40},0),0.154,0.222,0.302,0.395,0.617,0.888,1.209,1.579,1.998,2.467,2.985,3.855,4.836,6.316,9.868)*D15*E15*G15/1000,3))</f>
        <v>878.69399999999996</v>
      </c>
      <c r="V15" s="39"/>
      <c r="W15" s="40"/>
      <c r="X15" s="40"/>
      <c r="Y15" s="40"/>
      <c r="Z15" s="40"/>
      <c r="AA15" s="40"/>
      <c r="AB15" s="40"/>
      <c r="AC15" s="40"/>
      <c r="AD15" s="40"/>
    </row>
    <row r="16" spans="1:37" ht="26.25" customHeight="1" x14ac:dyDescent="0.2">
      <c r="A16" s="6">
        <v>1205</v>
      </c>
      <c r="B16" s="6" t="s">
        <v>46</v>
      </c>
      <c r="C16" s="7">
        <v>12</v>
      </c>
      <c r="D16" s="8">
        <v>17</v>
      </c>
      <c r="E16" s="8">
        <v>24</v>
      </c>
      <c r="F16" s="9">
        <f t="shared" si="2"/>
        <v>408</v>
      </c>
      <c r="G16" s="10">
        <f t="shared" si="1"/>
        <v>2270</v>
      </c>
      <c r="H16" s="11">
        <v>200</v>
      </c>
      <c r="I16" s="8">
        <v>300</v>
      </c>
      <c r="J16" s="8">
        <v>1700</v>
      </c>
      <c r="K16" s="8">
        <v>300</v>
      </c>
      <c r="L16" s="12"/>
      <c r="M16" s="8"/>
      <c r="N16" s="8"/>
      <c r="O16" s="8"/>
      <c r="P16" s="8"/>
      <c r="Q16" s="8"/>
      <c r="R16" s="8"/>
      <c r="S16" s="35"/>
      <c r="T16" s="34">
        <f>IF(C16="","",ROUND(CHOOSE(MATCH(C16,{5,6,7,8,10,12,14,16,18,20,22,25,28,32,40},0),0.154,0.222,0.302,0.395,0.617,0.888,1.209,1.579,1.998,2.467,2.985,3.855,4.836,6.316,9.868)*D16*E16*G16/1000,3))</f>
        <v>822.43</v>
      </c>
      <c r="V16" s="39"/>
      <c r="W16" s="40"/>
      <c r="X16" s="40"/>
      <c r="Y16" s="40"/>
      <c r="Z16" s="40"/>
      <c r="AA16" s="40"/>
      <c r="AB16" s="40"/>
      <c r="AC16" s="40"/>
      <c r="AD16" s="40"/>
    </row>
    <row r="17" spans="1:30" ht="26.25" customHeight="1" x14ac:dyDescent="0.2">
      <c r="A17" s="6">
        <v>1206</v>
      </c>
      <c r="B17" s="6" t="s">
        <v>36</v>
      </c>
      <c r="C17" s="7">
        <v>12</v>
      </c>
      <c r="D17" s="8">
        <v>4</v>
      </c>
      <c r="E17" s="8">
        <v>32</v>
      </c>
      <c r="F17" s="9">
        <f t="shared" ref="F17" si="3">D17*E17</f>
        <v>128</v>
      </c>
      <c r="G17" s="10">
        <f t="shared" si="1"/>
        <v>2470</v>
      </c>
      <c r="H17" s="11">
        <v>200</v>
      </c>
      <c r="I17" s="8">
        <v>300</v>
      </c>
      <c r="J17" s="8">
        <v>1900</v>
      </c>
      <c r="K17" s="8">
        <v>300</v>
      </c>
      <c r="L17" s="12"/>
      <c r="M17" s="8"/>
      <c r="N17" s="8"/>
      <c r="O17" s="8"/>
      <c r="P17" s="8"/>
      <c r="Q17" s="8"/>
      <c r="R17" s="8"/>
      <c r="S17" s="73"/>
      <c r="T17" s="34">
        <f>IF(C17="","",ROUND(CHOOSE(MATCH(C17,{5,6,7,8,10,12,14,16,18,20,22,25,28,32,40},0),0.154,0.222,0.302,0.395,0.617,0.888,1.209,1.579,1.998,2.467,2.985,3.855,4.836,6.316,9.868)*D17*E17*G17/1000,3))</f>
        <v>280.75</v>
      </c>
      <c r="V17" s="39"/>
      <c r="W17" s="40"/>
      <c r="X17" s="40"/>
      <c r="Y17" s="40"/>
      <c r="Z17" s="40"/>
      <c r="AA17" s="40"/>
      <c r="AB17" s="40"/>
      <c r="AC17" s="40"/>
      <c r="AD17" s="40"/>
    </row>
    <row r="18" spans="1:30" ht="26.25" customHeight="1" x14ac:dyDescent="0.2">
      <c r="A18" s="6">
        <v>1607</v>
      </c>
      <c r="B18" s="6" t="s">
        <v>47</v>
      </c>
      <c r="C18" s="7">
        <v>12</v>
      </c>
      <c r="D18" s="8">
        <v>2</v>
      </c>
      <c r="E18" s="8">
        <v>25</v>
      </c>
      <c r="F18" s="9">
        <f t="shared" ref="F18" si="4">D18*E18</f>
        <v>50</v>
      </c>
      <c r="G18" s="10">
        <f t="shared" si="1"/>
        <v>2770</v>
      </c>
      <c r="H18" s="11">
        <v>200</v>
      </c>
      <c r="I18" s="8">
        <v>350</v>
      </c>
      <c r="J18" s="8">
        <v>2100</v>
      </c>
      <c r="K18" s="8">
        <v>350</v>
      </c>
      <c r="L18" s="12"/>
      <c r="M18" s="8"/>
      <c r="N18" s="8"/>
      <c r="O18" s="8"/>
      <c r="P18" s="8"/>
      <c r="Q18" s="8"/>
      <c r="R18" s="8"/>
      <c r="S18" s="35"/>
      <c r="T18" s="34">
        <f>IF(C18="","",ROUND(CHOOSE(MATCH(C18,{5,6,7,8,10,12,14,16,18,20,22,25,28,32,40},0),0.154,0.222,0.302,0.395,0.617,0.888,1.209,1.579,1.998,2.467,2.985,3.855,4.836,6.316,9.868)*D18*E18*G18/1000,3))</f>
        <v>122.988</v>
      </c>
      <c r="V18" s="39"/>
      <c r="W18" s="40"/>
      <c r="X18" s="40"/>
      <c r="Y18" s="40"/>
      <c r="Z18" s="40"/>
      <c r="AA18" s="40"/>
      <c r="AB18" s="40"/>
      <c r="AC18" s="40"/>
      <c r="AD18" s="40"/>
    </row>
    <row r="19" spans="1:30" ht="26.25" customHeight="1" x14ac:dyDescent="0.2">
      <c r="A19" s="6">
        <v>1613</v>
      </c>
      <c r="B19" s="6" t="s">
        <v>48</v>
      </c>
      <c r="C19" s="7">
        <v>12</v>
      </c>
      <c r="D19" s="8">
        <v>8</v>
      </c>
      <c r="E19" s="8">
        <v>31</v>
      </c>
      <c r="F19" s="9">
        <f t="shared" ref="F19" si="5">D19*E19</f>
        <v>248</v>
      </c>
      <c r="G19" s="10">
        <f t="shared" si="1"/>
        <v>2170</v>
      </c>
      <c r="H19" s="11">
        <v>200</v>
      </c>
      <c r="I19" s="8">
        <v>400</v>
      </c>
      <c r="J19" s="8">
        <v>1400</v>
      </c>
      <c r="K19" s="8">
        <v>400</v>
      </c>
      <c r="L19" s="12"/>
      <c r="M19" s="8"/>
      <c r="N19" s="8"/>
      <c r="O19" s="8"/>
      <c r="P19" s="8"/>
      <c r="Q19" s="8"/>
      <c r="R19" s="8"/>
      <c r="S19" s="35"/>
      <c r="T19" s="34">
        <f>IF(C19="","",ROUND(CHOOSE(MATCH(C19,{5,6,7,8,10,12,14,16,18,20,22,25,28,32,40},0),0.154,0.222,0.302,0.395,0.617,0.888,1.209,1.579,1.998,2.467,2.985,3.855,4.836,6.316,9.868)*D19*E19*G19/1000,3))</f>
        <v>477.88600000000002</v>
      </c>
      <c r="V19" s="39"/>
      <c r="W19" s="40"/>
      <c r="X19" s="40"/>
      <c r="Y19" s="40"/>
      <c r="Z19" s="1"/>
      <c r="AA19" s="40"/>
      <c r="AB19" s="40"/>
      <c r="AC19" s="40"/>
      <c r="AD19" s="40"/>
    </row>
    <row r="20" spans="1:30" ht="26.25" customHeight="1" x14ac:dyDescent="0.2">
      <c r="A20" s="6">
        <v>1220</v>
      </c>
      <c r="B20" s="6" t="s">
        <v>49</v>
      </c>
      <c r="C20" s="7">
        <v>12</v>
      </c>
      <c r="D20" s="8">
        <v>1</v>
      </c>
      <c r="E20" s="8">
        <v>1</v>
      </c>
      <c r="F20" s="9">
        <f t="shared" ref="F20:F22" si="6">D20*E20</f>
        <v>1</v>
      </c>
      <c r="G20" s="10">
        <f t="shared" si="1"/>
        <v>3030</v>
      </c>
      <c r="H20" s="11">
        <v>200</v>
      </c>
      <c r="I20" s="8">
        <v>250</v>
      </c>
      <c r="J20" s="8">
        <v>2562</v>
      </c>
      <c r="K20" s="8">
        <v>250</v>
      </c>
      <c r="L20" s="12"/>
      <c r="M20" s="8"/>
      <c r="N20" s="8"/>
      <c r="O20" s="8"/>
      <c r="P20" s="8"/>
      <c r="Q20" s="8"/>
      <c r="R20" s="8"/>
      <c r="S20" s="35"/>
      <c r="T20" s="34">
        <f>IF(C20="","",ROUND(CHOOSE(MATCH(C20,{5,6,7,8,10,12,14,16,18,20,22,25,28,32,40},0),0.154,0.222,0.302,0.395,0.617,0.888,1.209,1.579,1.998,2.467,2.985,3.855,4.836,6.316,9.868)*D20*E20*G20/1000,3))</f>
        <v>2.6909999999999998</v>
      </c>
      <c r="V20" s="39"/>
      <c r="W20" s="40"/>
      <c r="X20" s="40"/>
      <c r="Y20" s="40"/>
      <c r="Z20" s="40"/>
      <c r="AA20" s="40"/>
      <c r="AB20" s="40"/>
      <c r="AC20" s="40"/>
      <c r="AD20" s="40"/>
    </row>
    <row r="21" spans="1:30" ht="26.25" customHeight="1" x14ac:dyDescent="0.2">
      <c r="A21" s="6">
        <v>1607</v>
      </c>
      <c r="B21" s="6" t="s">
        <v>98</v>
      </c>
      <c r="C21" s="7">
        <v>16</v>
      </c>
      <c r="D21" s="8">
        <v>5</v>
      </c>
      <c r="E21" s="8">
        <v>5</v>
      </c>
      <c r="F21" s="9">
        <f t="shared" si="6"/>
        <v>25</v>
      </c>
      <c r="G21" s="10">
        <f t="shared" si="1"/>
        <v>2760</v>
      </c>
      <c r="H21" s="11">
        <v>200</v>
      </c>
      <c r="I21" s="8">
        <v>350</v>
      </c>
      <c r="J21" s="8">
        <v>2100</v>
      </c>
      <c r="K21" s="8">
        <v>350</v>
      </c>
      <c r="L21" s="12"/>
      <c r="M21" s="8"/>
      <c r="N21" s="8"/>
      <c r="O21" s="8"/>
      <c r="P21" s="8"/>
      <c r="Q21" s="8"/>
      <c r="R21" s="8"/>
      <c r="S21" s="69"/>
      <c r="T21" s="34">
        <f>IF(C21="","",ROUND(CHOOSE(MATCH(C21,{5,6,7,8,10,12,14,16,18,20,22,25,28,32,40},0),0.154,0.222,0.302,0.395,0.617,0.888,1.209,1.579,1.998,2.467,2.985,3.855,4.836,6.316,9.868)*D21*E21*G21/1000,3))</f>
        <v>108.95099999999999</v>
      </c>
      <c r="V21" s="39"/>
      <c r="W21" s="40"/>
      <c r="X21" s="1"/>
      <c r="Y21" s="40"/>
      <c r="Z21" s="40"/>
      <c r="AA21" s="40"/>
      <c r="AB21" s="40"/>
      <c r="AC21" s="40"/>
      <c r="AD21" s="40"/>
    </row>
    <row r="22" spans="1:30" ht="26.25" customHeight="1" x14ac:dyDescent="0.2">
      <c r="A22" s="6">
        <v>1614</v>
      </c>
      <c r="B22" s="6" t="s">
        <v>99</v>
      </c>
      <c r="C22" s="7">
        <v>16</v>
      </c>
      <c r="D22" s="8">
        <v>2</v>
      </c>
      <c r="E22" s="8">
        <v>30</v>
      </c>
      <c r="F22" s="9">
        <f t="shared" si="6"/>
        <v>60</v>
      </c>
      <c r="G22" s="10">
        <f t="shared" si="1"/>
        <v>4060</v>
      </c>
      <c r="H22" s="11">
        <v>200</v>
      </c>
      <c r="I22" s="8">
        <v>350</v>
      </c>
      <c r="J22" s="8">
        <v>3400</v>
      </c>
      <c r="K22" s="8">
        <v>350</v>
      </c>
      <c r="L22" s="12"/>
      <c r="M22" s="8"/>
      <c r="N22" s="8"/>
      <c r="O22" s="8"/>
      <c r="P22" s="8"/>
      <c r="Q22" s="8"/>
      <c r="R22" s="8"/>
      <c r="S22" s="69"/>
      <c r="T22" s="34">
        <f>IF(C22="","",ROUND(CHOOSE(MATCH(C22,{5,6,7,8,10,12,14,16,18,20,22,25,28,32,40},0),0.154,0.222,0.302,0.395,0.617,0.888,1.209,1.579,1.998,2.467,2.985,3.855,4.836,6.316,9.868)*D22*E22*G22/1000,3))</f>
        <v>384.64400000000001</v>
      </c>
      <c r="V22" s="39"/>
      <c r="W22" s="40"/>
      <c r="X22" s="40"/>
      <c r="Y22" s="40"/>
      <c r="Z22" s="40"/>
      <c r="AA22" s="40"/>
      <c r="AB22" s="40"/>
      <c r="AC22" s="40"/>
      <c r="AD22" s="40"/>
    </row>
    <row r="23" spans="1:30" ht="26.25" customHeight="1" x14ac:dyDescent="0.2">
      <c r="A23" s="6"/>
      <c r="B23" s="6"/>
      <c r="C23" s="7"/>
      <c r="D23" s="8"/>
      <c r="E23" s="8"/>
      <c r="F23" s="9"/>
      <c r="G23" s="10"/>
      <c r="H23" s="11"/>
      <c r="I23" s="8"/>
      <c r="J23" s="50"/>
      <c r="K23" s="50"/>
      <c r="L23" s="52"/>
      <c r="M23" s="8"/>
      <c r="N23" s="8"/>
      <c r="O23" s="8"/>
      <c r="P23" s="8"/>
      <c r="Q23" s="8"/>
      <c r="R23" s="8"/>
      <c r="S23" s="69"/>
      <c r="T23" s="34"/>
      <c r="V23" s="39"/>
      <c r="W23" s="40"/>
      <c r="X23"/>
      <c r="Y23"/>
      <c r="Z23"/>
      <c r="AA23"/>
      <c r="AB23" s="40"/>
      <c r="AC23" s="40"/>
      <c r="AD23" s="40"/>
    </row>
    <row r="24" spans="1:30" ht="26.25" customHeight="1" x14ac:dyDescent="0.2">
      <c r="A24" s="6"/>
      <c r="B24" s="6"/>
      <c r="C24" s="7"/>
      <c r="D24" s="8"/>
      <c r="E24" s="8"/>
      <c r="F24" s="9"/>
      <c r="G24" s="10"/>
      <c r="H24" s="11"/>
      <c r="I24" s="8"/>
      <c r="J24" s="50"/>
      <c r="K24" s="50"/>
      <c r="L24" s="52"/>
      <c r="M24" s="8"/>
      <c r="N24" s="8"/>
      <c r="O24" s="8"/>
      <c r="P24" s="8"/>
      <c r="Q24" s="8"/>
      <c r="R24" s="8"/>
      <c r="S24" s="35"/>
      <c r="T24" s="34"/>
      <c r="V24" s="39"/>
      <c r="W24" s="40"/>
      <c r="X24"/>
      <c r="Y24"/>
      <c r="Z24"/>
      <c r="AA24"/>
      <c r="AB24" s="40"/>
      <c r="AC24" s="40"/>
      <c r="AD24" s="40"/>
    </row>
    <row r="25" spans="1:30" ht="26.25" customHeight="1" x14ac:dyDescent="0.2">
      <c r="A25" s="6">
        <v>1608</v>
      </c>
      <c r="B25" s="6" t="s">
        <v>37</v>
      </c>
      <c r="C25" s="7">
        <v>16</v>
      </c>
      <c r="D25" s="8">
        <v>21</v>
      </c>
      <c r="E25" s="8">
        <v>4</v>
      </c>
      <c r="F25" s="9">
        <f t="shared" ref="F25" si="7">D25*E25</f>
        <v>84</v>
      </c>
      <c r="G25" s="10">
        <f>IF(H25=222,IF(ISERROR(0/C25/D25/E25/I25/J25/K25),"VOID",ROUND(I25+J25+K25,-1)),"FALSE")</f>
        <v>7050</v>
      </c>
      <c r="H25" s="11">
        <v>222</v>
      </c>
      <c r="I25" s="36">
        <v>3375</v>
      </c>
      <c r="J25" s="36">
        <v>300</v>
      </c>
      <c r="K25" s="36">
        <v>3375</v>
      </c>
      <c r="L25" s="12">
        <v>50</v>
      </c>
      <c r="M25" s="37"/>
      <c r="N25" s="8"/>
      <c r="O25" s="8"/>
      <c r="P25" s="8"/>
      <c r="Q25" s="8"/>
      <c r="R25" s="8"/>
      <c r="S25" s="33"/>
      <c r="T25" s="34">
        <f>IF(C25="","",ROUND(CHOOSE(MATCH(C25,{5,6,7,8,10,12,14,16,18,20,22,25,28,32,40},0),0.154,0.222,0.302,0.395,0.617,0.888,1.209,1.579,1.998,2.467,2.985,3.855,4.836,6.316,9.868)*D25*E25*G25/1000,3))</f>
        <v>935.08399999999995</v>
      </c>
      <c r="V25" s="39"/>
      <c r="W25" s="40"/>
      <c r="X25"/>
      <c r="Y25"/>
      <c r="Z25"/>
      <c r="AA25"/>
      <c r="AB25" s="40"/>
      <c r="AC25" s="40"/>
      <c r="AD25" s="40"/>
    </row>
    <row r="26" spans="1:30" ht="26.25" customHeight="1" x14ac:dyDescent="0.2">
      <c r="A26" s="6">
        <v>1610</v>
      </c>
      <c r="B26" s="6" t="s">
        <v>37</v>
      </c>
      <c r="C26" s="7">
        <v>16</v>
      </c>
      <c r="D26" s="8">
        <v>21</v>
      </c>
      <c r="E26" s="8">
        <v>4</v>
      </c>
      <c r="F26" s="9">
        <f t="shared" ref="F26" si="8">D26*E26</f>
        <v>84</v>
      </c>
      <c r="G26" s="10">
        <f>IF(H26=310,IF(ISERROR(0/C26/D26/E26/I26/J26/K26/M26),"VOID",ROUND(I26+J26+K26+M26-IF(C26&lt;20,1.25*C26,1.75*C26),-1)),"FALSE")</f>
        <v>4080</v>
      </c>
      <c r="H26" s="11">
        <v>310</v>
      </c>
      <c r="I26" s="8">
        <v>3375</v>
      </c>
      <c r="J26" s="8">
        <v>300</v>
      </c>
      <c r="K26" s="8">
        <v>375</v>
      </c>
      <c r="L26" s="12">
        <v>50</v>
      </c>
      <c r="M26" s="8">
        <v>50</v>
      </c>
      <c r="N26" s="8"/>
      <c r="O26" s="8"/>
      <c r="P26" s="8"/>
      <c r="Q26" s="8"/>
      <c r="R26" s="8"/>
      <c r="S26" s="33"/>
      <c r="T26" s="34">
        <f>IF(C26="","",ROUND(CHOOSE(MATCH(C26,{5,6,7,8,10,12,14,16,18,20,22,25,28,32,40},0),0.154,0.222,0.302,0.395,0.617,0.888,1.209,1.579,1.998,2.467,2.985,3.855,4.836,6.316,9.868)*D26*E26*G26/1000,3))</f>
        <v>541.15499999999997</v>
      </c>
      <c r="V26" s="39"/>
      <c r="W26" s="40"/>
      <c r="X26"/>
      <c r="Y26"/>
      <c r="Z26"/>
      <c r="AA26"/>
      <c r="AB26" s="40"/>
      <c r="AC26" s="40"/>
      <c r="AD26" s="40"/>
    </row>
    <row r="27" spans="1:30" ht="26.25" customHeight="1" x14ac:dyDescent="0.2">
      <c r="A27" s="6">
        <v>1640</v>
      </c>
      <c r="B27" s="6" t="s">
        <v>37</v>
      </c>
      <c r="C27" s="7">
        <v>16</v>
      </c>
      <c r="D27" s="8">
        <v>21</v>
      </c>
      <c r="E27" s="8">
        <v>4</v>
      </c>
      <c r="F27" s="9">
        <f t="shared" ref="F27:F110" si="9">D27*E27</f>
        <v>84</v>
      </c>
      <c r="G27" s="10">
        <f>IF(H27=222,IF(ISERROR(0/C27/D27/E27/I27/J27/K27),"VOID",ROUND(I27+J27+K27,-1)),"FALSE")</f>
        <v>1750</v>
      </c>
      <c r="H27" s="11">
        <v>222</v>
      </c>
      <c r="I27" s="8">
        <v>1150</v>
      </c>
      <c r="J27" s="8">
        <v>150</v>
      </c>
      <c r="K27" s="8">
        <v>450</v>
      </c>
      <c r="L27" s="12">
        <v>50</v>
      </c>
      <c r="M27" s="8"/>
      <c r="N27" s="8"/>
      <c r="O27" s="8"/>
      <c r="P27" s="8"/>
      <c r="Q27" s="8"/>
      <c r="R27" s="8"/>
      <c r="S27" s="33"/>
      <c r="T27" s="34">
        <f>IF(C27="","",ROUND(CHOOSE(MATCH(C27,{5,6,7,8,10,12,14,16,18,20,22,25,28,32,40},0),0.154,0.222,0.302,0.395,0.617,0.888,1.209,1.579,1.998,2.467,2.985,3.855,4.836,6.316,9.868)*D27*E27*G27/1000,3))</f>
        <v>232.113</v>
      </c>
      <c r="V27" s="39"/>
      <c r="W27" s="40"/>
      <c r="X27"/>
      <c r="Y27"/>
      <c r="Z27"/>
      <c r="AA27"/>
      <c r="AB27" s="40"/>
      <c r="AC27" s="40"/>
      <c r="AD27" s="40"/>
    </row>
    <row r="28" spans="1:30" ht="26.25" customHeight="1" x14ac:dyDescent="0.2">
      <c r="A28" s="6">
        <v>1001</v>
      </c>
      <c r="B28" s="6" t="s">
        <v>29</v>
      </c>
      <c r="C28" s="7">
        <v>10</v>
      </c>
      <c r="D28" s="8">
        <v>21</v>
      </c>
      <c r="E28" s="8">
        <v>30</v>
      </c>
      <c r="F28" s="9">
        <f t="shared" si="9"/>
        <v>630</v>
      </c>
      <c r="G28" s="10">
        <f>IF(H28=500,IF(ISERROR(0/C28/D28/E28/I28/J28/K28),"VOID",ROUND(2*(I28+J28+K28)-IF(C28&lt;20,6.25*C28,8.75*C28),-1)),"FALSE")</f>
        <v>740</v>
      </c>
      <c r="H28" s="11">
        <v>500</v>
      </c>
      <c r="I28" s="8">
        <v>175</v>
      </c>
      <c r="J28" s="8">
        <v>175</v>
      </c>
      <c r="K28" s="8">
        <v>50</v>
      </c>
      <c r="L28" s="12"/>
      <c r="M28" s="50"/>
      <c r="N28" s="8"/>
      <c r="O28" s="8"/>
      <c r="P28" s="8"/>
      <c r="Q28" s="8"/>
      <c r="R28" s="8"/>
      <c r="S28" s="35"/>
      <c r="T28" s="34">
        <f>IF(C28="","",ROUND(CHOOSE(MATCH(C28,{5,6,7,8,10,12,14,16,18,20,22,25,28,32,40},0),0.154,0.222,0.302,0.395,0.617,0.888,1.209,1.579,1.998,2.467,2.985,3.855,4.836,6.316,9.868)*D28*E28*G28/1000,3))</f>
        <v>287.64499999999998</v>
      </c>
      <c r="V28" s="39"/>
      <c r="W28" s="40"/>
      <c r="X28" s="40"/>
      <c r="Y28" s="40"/>
      <c r="Z28" s="40"/>
      <c r="AA28" s="40"/>
      <c r="AB28" s="40"/>
      <c r="AC28" s="40"/>
      <c r="AD28" s="40"/>
    </row>
    <row r="29" spans="1:30" ht="26.25" customHeight="1" x14ac:dyDescent="0.2">
      <c r="A29" s="6">
        <v>1606</v>
      </c>
      <c r="B29" s="6" t="s">
        <v>30</v>
      </c>
      <c r="C29" s="7">
        <v>16</v>
      </c>
      <c r="D29" s="8">
        <v>6</v>
      </c>
      <c r="E29" s="8">
        <v>4</v>
      </c>
      <c r="F29" s="9">
        <f t="shared" si="9"/>
        <v>24</v>
      </c>
      <c r="G29" s="10">
        <f>IF(H29=222,IF(ISERROR(0/C29/D29/E29/I29/J29/K29),"VOID",ROUND(I29+J29+K29,-1)),"FALSE")</f>
        <v>1600</v>
      </c>
      <c r="H29" s="11">
        <v>222</v>
      </c>
      <c r="I29" s="8">
        <v>1000</v>
      </c>
      <c r="J29" s="8">
        <v>150</v>
      </c>
      <c r="K29" s="8">
        <v>450</v>
      </c>
      <c r="L29" s="38">
        <v>50</v>
      </c>
      <c r="M29" s="8"/>
      <c r="N29" s="37"/>
      <c r="O29" s="8"/>
      <c r="P29" s="8"/>
      <c r="Q29" s="8"/>
      <c r="R29" s="8"/>
      <c r="S29" s="33"/>
      <c r="T29" s="34">
        <f>IF(C29="","",ROUND(CHOOSE(MATCH(C29,{5,6,7,8,10,12,14,16,18,20,22,25,28,32,40},0),0.154,0.222,0.302,0.395,0.617,0.888,1.209,1.579,1.998,2.467,2.985,3.855,4.836,6.316,9.868)*D29*E29*G29/1000,3))</f>
        <v>60.634</v>
      </c>
      <c r="V29" s="39"/>
      <c r="W29" s="40"/>
      <c r="X29" s="40"/>
      <c r="Y29" s="40"/>
      <c r="Z29" s="40"/>
      <c r="AA29" s="40"/>
      <c r="AB29" s="40"/>
      <c r="AC29" s="40"/>
      <c r="AD29" s="40"/>
    </row>
    <row r="30" spans="1:30" ht="26.25" customHeight="1" x14ac:dyDescent="0.2">
      <c r="A30" s="6">
        <v>1608</v>
      </c>
      <c r="B30" s="6" t="s">
        <v>30</v>
      </c>
      <c r="C30" s="7">
        <v>16</v>
      </c>
      <c r="D30" s="8">
        <v>6</v>
      </c>
      <c r="E30" s="8">
        <v>4</v>
      </c>
      <c r="F30" s="9">
        <f t="shared" ref="F30" si="10">D30*E30</f>
        <v>24</v>
      </c>
      <c r="G30" s="10">
        <f>IF(H30=222,IF(ISERROR(0/C30/D30/E30/I30/J30/K30),"VOID",ROUND(I30+J30+K30,-1)),"FALSE")</f>
        <v>4880</v>
      </c>
      <c r="H30" s="11">
        <v>222</v>
      </c>
      <c r="I30" s="8">
        <v>3375</v>
      </c>
      <c r="J30" s="8">
        <v>300</v>
      </c>
      <c r="K30" s="8">
        <v>1200</v>
      </c>
      <c r="L30" s="12">
        <v>50</v>
      </c>
      <c r="M30" s="51"/>
      <c r="N30" s="8"/>
      <c r="O30" s="8"/>
      <c r="P30" s="8"/>
      <c r="Q30" s="8"/>
      <c r="R30" s="8"/>
      <c r="S30" s="33"/>
      <c r="T30" s="34">
        <f>IF(C30="","",ROUND(CHOOSE(MATCH(C30,{5,6,7,8,10,12,14,16,18,20,22,25,28,32,40},0),0.154,0.222,0.302,0.395,0.617,0.888,1.209,1.579,1.998,2.467,2.985,3.855,4.836,6.316,9.868)*D30*E30*G30/1000,3))</f>
        <v>184.93199999999999</v>
      </c>
      <c r="V30" s="39"/>
      <c r="W30" s="40"/>
      <c r="X30" s="40"/>
      <c r="Y30" s="40"/>
      <c r="Z30" s="40"/>
      <c r="AA30" s="40"/>
      <c r="AB30" s="40"/>
      <c r="AC30" s="40"/>
      <c r="AD30" s="40"/>
    </row>
    <row r="31" spans="1:30" ht="26.25" customHeight="1" x14ac:dyDescent="0.2">
      <c r="A31" s="6">
        <v>1610</v>
      </c>
      <c r="B31" s="6" t="s">
        <v>30</v>
      </c>
      <c r="C31" s="7">
        <v>16</v>
      </c>
      <c r="D31" s="8">
        <v>6</v>
      </c>
      <c r="E31" s="8">
        <v>4</v>
      </c>
      <c r="F31" s="9">
        <f t="shared" si="9"/>
        <v>24</v>
      </c>
      <c r="G31" s="10">
        <f>IF(H31=310,IF(ISERROR(0/C31/D31/E31/I31/J31/K31/M31),"VOID",ROUND(I31+J31+K31+M31-IF(C31&lt;20,1.25*C31,1.75*C31),-1)),"FALSE")</f>
        <v>4080</v>
      </c>
      <c r="H31" s="11">
        <v>310</v>
      </c>
      <c r="I31" s="8">
        <v>3375</v>
      </c>
      <c r="J31" s="8">
        <v>300</v>
      </c>
      <c r="K31" s="8">
        <v>375</v>
      </c>
      <c r="L31" s="12">
        <v>50</v>
      </c>
      <c r="M31" s="8">
        <v>50</v>
      </c>
      <c r="N31" s="8"/>
      <c r="O31" s="8"/>
      <c r="P31" s="8"/>
      <c r="Q31" s="8"/>
      <c r="R31" s="8"/>
      <c r="S31" s="33"/>
      <c r="T31" s="34">
        <f>IF(C31="","",ROUND(CHOOSE(MATCH(C31,{5,6,7,8,10,12,14,16,18,20,22,25,28,32,40},0),0.154,0.222,0.302,0.395,0.617,0.888,1.209,1.579,1.998,2.467,2.985,3.855,4.836,6.316,9.868)*D31*E31*G31/1000,3))</f>
        <v>154.61600000000001</v>
      </c>
      <c r="V31" s="39"/>
      <c r="W31" s="40"/>
      <c r="X31" s="40"/>
      <c r="Y31" s="40"/>
      <c r="Z31" s="40"/>
      <c r="AA31" s="40"/>
      <c r="AB31" s="40"/>
      <c r="AC31" s="40"/>
      <c r="AD31" s="40"/>
    </row>
    <row r="32" spans="1:30" ht="26.25" customHeight="1" x14ac:dyDescent="0.2">
      <c r="A32" s="6">
        <v>1001</v>
      </c>
      <c r="B32" s="6" t="s">
        <v>30</v>
      </c>
      <c r="C32" s="7">
        <v>10</v>
      </c>
      <c r="D32" s="8">
        <v>6</v>
      </c>
      <c r="E32" s="8">
        <v>67</v>
      </c>
      <c r="F32" s="9">
        <f t="shared" si="9"/>
        <v>402</v>
      </c>
      <c r="G32" s="10">
        <f>IF(H32=500,IF(ISERROR(0/C32/D32/E32/I32/J32/K32),"VOID",ROUND(2*(I32+J32+K32)-IF(C32&lt;20,6.25*C32,8.75*C32),-1)),"FALSE")</f>
        <v>900</v>
      </c>
      <c r="H32" s="11">
        <v>500</v>
      </c>
      <c r="I32" s="8">
        <v>175</v>
      </c>
      <c r="J32" s="8">
        <v>175</v>
      </c>
      <c r="K32" s="8">
        <f>CEILING(MAX(C32*13,),5)</f>
        <v>130</v>
      </c>
      <c r="L32" s="12"/>
      <c r="M32" s="8"/>
      <c r="N32" s="8"/>
      <c r="O32" s="8"/>
      <c r="P32" s="8"/>
      <c r="Q32" s="8"/>
      <c r="R32" s="8"/>
      <c r="S32" s="56"/>
      <c r="T32" s="34">
        <f>IF(C32="","",ROUND(CHOOSE(MATCH(C32,{5,6,7,8,10,12,14,16,18,20,22,25,28,32,40},0),0.154,0.222,0.302,0.395,0.617,0.888,1.209,1.579,1.998,2.467,2.985,3.855,4.836,6.316,9.868)*D32*E32*G32/1000,3))</f>
        <v>223.23099999999999</v>
      </c>
      <c r="V32" s="39"/>
      <c r="W32" s="40"/>
      <c r="X32" s="40"/>
      <c r="Y32" s="40"/>
      <c r="Z32" s="40"/>
      <c r="AA32" s="40"/>
      <c r="AB32" s="40"/>
      <c r="AC32" s="40"/>
      <c r="AD32" s="40"/>
    </row>
    <row r="33" spans="1:30" ht="26.25" customHeight="1" x14ac:dyDescent="0.2">
      <c r="A33" s="6">
        <v>1606</v>
      </c>
      <c r="B33" s="6" t="s">
        <v>50</v>
      </c>
      <c r="C33" s="7">
        <v>16</v>
      </c>
      <c r="D33" s="8">
        <v>2</v>
      </c>
      <c r="E33" s="8">
        <v>4</v>
      </c>
      <c r="F33" s="9">
        <f t="shared" si="9"/>
        <v>8</v>
      </c>
      <c r="G33" s="10">
        <f>IF(H33=222,IF(ISERROR(0/C33/D33/E33/I33/J33/K33),"VOID",ROUND(I33+J33+K33,-1)),"FALSE")</f>
        <v>1600</v>
      </c>
      <c r="H33" s="11">
        <v>222</v>
      </c>
      <c r="I33" s="8">
        <v>1000</v>
      </c>
      <c r="J33" s="8">
        <v>150</v>
      </c>
      <c r="K33" s="8">
        <v>450</v>
      </c>
      <c r="L33" s="38">
        <v>50</v>
      </c>
      <c r="M33" s="8"/>
      <c r="N33" s="37"/>
      <c r="O33" s="8"/>
      <c r="P33" s="8"/>
      <c r="Q33" s="8"/>
      <c r="R33" s="8"/>
      <c r="S33" s="33"/>
      <c r="T33" s="34">
        <f>IF(C33="","",ROUND(CHOOSE(MATCH(C33,{5,6,7,8,10,12,14,16,18,20,22,25,28,32,40},0),0.154,0.222,0.302,0.395,0.617,0.888,1.209,1.579,1.998,2.467,2.985,3.855,4.836,6.316,9.868)*D33*E33*G33/1000,3))</f>
        <v>20.210999999999999</v>
      </c>
      <c r="V33" s="39"/>
      <c r="W33" s="40"/>
      <c r="X33" s="40"/>
      <c r="Y33" s="40"/>
      <c r="Z33" s="40"/>
      <c r="AA33" s="40"/>
      <c r="AB33" s="40"/>
      <c r="AC33" s="40"/>
      <c r="AD33" s="40"/>
    </row>
    <row r="34" spans="1:30" ht="26.25" customHeight="1" x14ac:dyDescent="0.2">
      <c r="A34" s="6">
        <v>1608</v>
      </c>
      <c r="B34" s="6" t="s">
        <v>50</v>
      </c>
      <c r="C34" s="7">
        <v>16</v>
      </c>
      <c r="D34" s="8">
        <v>2</v>
      </c>
      <c r="E34" s="8">
        <v>12</v>
      </c>
      <c r="F34" s="9">
        <f t="shared" ref="F34" si="11">D34*E34</f>
        <v>24</v>
      </c>
      <c r="G34" s="10">
        <f>IF(H34=222,IF(ISERROR(0/C34/D34/E34/I34/J34/K34),"VOID",ROUND(I34+J34+K34,-1)),"FALSE")</f>
        <v>4880</v>
      </c>
      <c r="H34" s="11">
        <v>222</v>
      </c>
      <c r="I34" s="8">
        <v>3375</v>
      </c>
      <c r="J34" s="8">
        <v>300</v>
      </c>
      <c r="K34" s="8">
        <v>1200</v>
      </c>
      <c r="L34" s="12">
        <v>50</v>
      </c>
      <c r="M34" s="8"/>
      <c r="N34" s="8"/>
      <c r="O34" s="8"/>
      <c r="P34" s="8"/>
      <c r="Q34" s="8"/>
      <c r="R34" s="8"/>
      <c r="S34" s="33"/>
      <c r="T34" s="34">
        <f>IF(C34="","",ROUND(CHOOSE(MATCH(C34,{5,6,7,8,10,12,14,16,18,20,22,25,28,32,40},0),0.154,0.222,0.302,0.395,0.617,0.888,1.209,1.579,1.998,2.467,2.985,3.855,4.836,6.316,9.868)*D34*E34*G34/1000,3))</f>
        <v>184.93199999999999</v>
      </c>
      <c r="V34" s="39"/>
      <c r="W34" s="40"/>
      <c r="X34" s="40"/>
      <c r="Y34" s="40"/>
      <c r="Z34" s="40"/>
      <c r="AA34" s="40"/>
      <c r="AB34" s="40"/>
      <c r="AC34" s="40"/>
      <c r="AD34" s="40"/>
    </row>
    <row r="35" spans="1:30" ht="26.25" customHeight="1" x14ac:dyDescent="0.2">
      <c r="A35" s="6">
        <v>1610</v>
      </c>
      <c r="B35" s="6" t="s">
        <v>50</v>
      </c>
      <c r="C35" s="7">
        <v>16</v>
      </c>
      <c r="D35" s="8">
        <v>2</v>
      </c>
      <c r="E35" s="8">
        <v>4</v>
      </c>
      <c r="F35" s="9">
        <f t="shared" si="9"/>
        <v>8</v>
      </c>
      <c r="G35" s="10">
        <f>IF(H35=310,IF(ISERROR(0/C35/D35/E35/I35/J35/K35/M35),"VOID",ROUND(I35+J35+K35+M35-IF(C35&lt;20,1.25*C35,1.75*C35),-1)),"FALSE")</f>
        <v>4080</v>
      </c>
      <c r="H35" s="11">
        <v>310</v>
      </c>
      <c r="I35" s="8">
        <v>3375</v>
      </c>
      <c r="J35" s="8">
        <v>300</v>
      </c>
      <c r="K35" s="8">
        <v>375</v>
      </c>
      <c r="L35" s="12">
        <v>50</v>
      </c>
      <c r="M35" s="8">
        <v>50</v>
      </c>
      <c r="N35" s="8"/>
      <c r="O35" s="8"/>
      <c r="P35" s="8"/>
      <c r="Q35" s="8"/>
      <c r="R35" s="8"/>
      <c r="S35" s="33"/>
      <c r="T35" s="34">
        <f>IF(C35="","",ROUND(CHOOSE(MATCH(C35,{5,6,7,8,10,12,14,16,18,20,22,25,28,32,40},0),0.154,0.222,0.302,0.395,0.617,0.888,1.209,1.579,1.998,2.467,2.985,3.855,4.836,6.316,9.868)*D35*E35*G35/1000,3))</f>
        <v>51.539000000000001</v>
      </c>
      <c r="V35" s="39"/>
      <c r="W35" s="40"/>
      <c r="X35" s="40"/>
      <c r="Y35" s="40"/>
      <c r="Z35" s="40"/>
      <c r="AA35" s="40"/>
      <c r="AB35" s="40"/>
      <c r="AC35" s="40"/>
      <c r="AD35" s="40"/>
    </row>
    <row r="36" spans="1:30" ht="26.25" customHeight="1" x14ac:dyDescent="0.2">
      <c r="A36" s="6">
        <v>1001</v>
      </c>
      <c r="B36" s="6" t="s">
        <v>50</v>
      </c>
      <c r="C36" s="7">
        <v>10</v>
      </c>
      <c r="D36" s="8">
        <v>2</v>
      </c>
      <c r="E36" s="8">
        <v>52</v>
      </c>
      <c r="F36" s="9">
        <f t="shared" si="9"/>
        <v>104</v>
      </c>
      <c r="G36" s="10">
        <f>IF(H36=500,IF(ISERROR(0/C36/D36/E36/I36/J36/K36),"VOID",ROUND(2*(I36+J36+K36)-IF(C36&lt;20,6.25*C36,8.75*C36),-1)),"FALSE")</f>
        <v>900</v>
      </c>
      <c r="H36" s="11">
        <v>500</v>
      </c>
      <c r="I36" s="8">
        <v>175</v>
      </c>
      <c r="J36" s="8">
        <v>175</v>
      </c>
      <c r="K36" s="8">
        <f>CEILING(MAX(C36*13,),5)</f>
        <v>130</v>
      </c>
      <c r="L36" s="12"/>
      <c r="M36" s="8"/>
      <c r="N36" s="8"/>
      <c r="O36" s="8"/>
      <c r="P36" s="8"/>
      <c r="Q36" s="8"/>
      <c r="R36" s="8"/>
      <c r="S36" s="56"/>
      <c r="T36" s="34">
        <f>IF(C36="","",ROUND(CHOOSE(MATCH(C36,{5,6,7,8,10,12,14,16,18,20,22,25,28,32,40},0),0.154,0.222,0.302,0.395,0.617,0.888,1.209,1.579,1.998,2.467,2.985,3.855,4.836,6.316,9.868)*D36*E36*G36/1000,3))</f>
        <v>57.750999999999998</v>
      </c>
      <c r="V36" s="39"/>
      <c r="W36" s="40"/>
      <c r="X36" s="40"/>
      <c r="Y36" s="40"/>
      <c r="Z36" s="40"/>
      <c r="AA36" s="40"/>
      <c r="AB36" s="40"/>
      <c r="AC36" s="40"/>
      <c r="AD36" s="40"/>
    </row>
    <row r="37" spans="1:30" ht="26.25" customHeight="1" x14ac:dyDescent="0.2">
      <c r="A37" s="6">
        <v>1002</v>
      </c>
      <c r="B37" s="6" t="s">
        <v>50</v>
      </c>
      <c r="C37" s="7">
        <v>10</v>
      </c>
      <c r="D37" s="8">
        <v>2</v>
      </c>
      <c r="E37" s="8">
        <v>15</v>
      </c>
      <c r="F37" s="9">
        <f t="shared" ref="F37" si="12">D37*E37</f>
        <v>30</v>
      </c>
      <c r="G37" s="10">
        <f>IF(H37=500,IF(ISERROR(0/C37/D37/E37/I37/J37/K37),"VOID",ROUND(2*(I37+J37+K37)-IF(C37&lt;20,6.25*C37,8.75*C37),-1)),"FALSE")</f>
        <v>900</v>
      </c>
      <c r="H37" s="11">
        <v>500</v>
      </c>
      <c r="I37" s="8">
        <v>175</v>
      </c>
      <c r="J37" s="8">
        <v>175</v>
      </c>
      <c r="K37" s="8">
        <f>CEILING(MAX(C37*13,),5)</f>
        <v>130</v>
      </c>
      <c r="L37" s="12"/>
      <c r="M37" s="8"/>
      <c r="N37" s="8"/>
      <c r="O37" s="8"/>
      <c r="P37" s="8"/>
      <c r="Q37" s="8"/>
      <c r="R37" s="8"/>
      <c r="S37" s="56"/>
      <c r="T37" s="34">
        <f>IF(C37="","",ROUND(CHOOSE(MATCH(C37,{5,6,7,8,10,12,14,16,18,20,22,25,28,32,40},0),0.154,0.222,0.302,0.395,0.617,0.888,1.209,1.579,1.998,2.467,2.985,3.855,4.836,6.316,9.868)*D37*E37*G37/1000,3))</f>
        <v>16.658999999999999</v>
      </c>
      <c r="V37" s="39"/>
      <c r="W37" s="40"/>
      <c r="X37" s="40"/>
      <c r="Y37" s="40"/>
      <c r="Z37" s="40"/>
      <c r="AA37" s="40"/>
      <c r="AB37" s="40"/>
      <c r="AC37" s="40"/>
      <c r="AD37" s="40"/>
    </row>
    <row r="38" spans="1:30" ht="26.25" customHeight="1" x14ac:dyDescent="0.2">
      <c r="A38" s="6">
        <v>1606</v>
      </c>
      <c r="B38" s="6" t="s">
        <v>51</v>
      </c>
      <c r="C38" s="7">
        <v>16</v>
      </c>
      <c r="D38" s="8">
        <v>1</v>
      </c>
      <c r="E38" s="8">
        <v>4</v>
      </c>
      <c r="F38" s="9">
        <f t="shared" si="9"/>
        <v>4</v>
      </c>
      <c r="G38" s="10">
        <f>IF(H38=222,IF(ISERROR(0/C38/D38/E38/I38/J38/K38),"VOID",ROUND(I38+J38+K38,-1)),"FALSE")</f>
        <v>1750</v>
      </c>
      <c r="H38" s="11">
        <v>222</v>
      </c>
      <c r="I38" s="8">
        <v>1000</v>
      </c>
      <c r="J38" s="8">
        <v>300</v>
      </c>
      <c r="K38" s="8">
        <v>450</v>
      </c>
      <c r="L38" s="38">
        <v>50</v>
      </c>
      <c r="M38" s="8"/>
      <c r="N38" s="37"/>
      <c r="O38" s="8"/>
      <c r="P38" s="8"/>
      <c r="Q38" s="8"/>
      <c r="R38" s="8"/>
      <c r="S38" s="33"/>
      <c r="T38" s="34">
        <f>IF(C38="","",ROUND(CHOOSE(MATCH(C38,{5,6,7,8,10,12,14,16,18,20,22,25,28,32,40},0),0.154,0.222,0.302,0.395,0.617,0.888,1.209,1.579,1.998,2.467,2.985,3.855,4.836,6.316,9.868)*D38*E38*G38/1000,3))</f>
        <v>11.053000000000001</v>
      </c>
      <c r="V38" s="39"/>
      <c r="W38" s="40"/>
      <c r="X38" s="40"/>
      <c r="Y38" s="40"/>
      <c r="Z38" s="40"/>
      <c r="AA38" s="40"/>
      <c r="AB38" s="40"/>
      <c r="AC38" s="40"/>
      <c r="AD38" s="40"/>
    </row>
    <row r="39" spans="1:30" ht="26.25" customHeight="1" x14ac:dyDescent="0.2">
      <c r="A39" s="6">
        <v>1608</v>
      </c>
      <c r="B39" s="6" t="s">
        <v>51</v>
      </c>
      <c r="C39" s="7">
        <v>16</v>
      </c>
      <c r="D39" s="8">
        <v>1</v>
      </c>
      <c r="E39" s="8">
        <v>12</v>
      </c>
      <c r="F39" s="9">
        <f t="shared" si="9"/>
        <v>12</v>
      </c>
      <c r="G39" s="10">
        <f>IF(H39=222,IF(ISERROR(0/C39/D39/E39/I39/J39/K39),"VOID",ROUND(I39+J39+K39,-1)),"FALSE")</f>
        <v>4880</v>
      </c>
      <c r="H39" s="11">
        <v>222</v>
      </c>
      <c r="I39" s="8">
        <v>3375</v>
      </c>
      <c r="J39" s="8">
        <v>300</v>
      </c>
      <c r="K39" s="8">
        <v>1200</v>
      </c>
      <c r="L39" s="12">
        <v>50</v>
      </c>
      <c r="M39" s="8"/>
      <c r="N39" s="8"/>
      <c r="O39" s="8"/>
      <c r="P39" s="8"/>
      <c r="Q39" s="8"/>
      <c r="R39" s="8"/>
      <c r="S39" s="33"/>
      <c r="T39" s="34">
        <f>IF(C39="","",ROUND(CHOOSE(MATCH(C39,{5,6,7,8,10,12,14,16,18,20,22,25,28,32,40},0),0.154,0.222,0.302,0.395,0.617,0.888,1.209,1.579,1.998,2.467,2.985,3.855,4.836,6.316,9.868)*D39*E39*G39/1000,3))</f>
        <v>92.465999999999994</v>
      </c>
      <c r="V39" s="39"/>
      <c r="W39" s="40"/>
      <c r="X39" s="40"/>
      <c r="Y39" s="40"/>
      <c r="Z39" s="40"/>
      <c r="AA39" s="40"/>
      <c r="AB39" s="40"/>
      <c r="AC39" s="40"/>
      <c r="AD39" s="40"/>
    </row>
    <row r="40" spans="1:30" ht="26.25" customHeight="1" x14ac:dyDescent="0.2">
      <c r="A40" s="6">
        <v>1610</v>
      </c>
      <c r="B40" s="6" t="s">
        <v>51</v>
      </c>
      <c r="C40" s="7">
        <v>16</v>
      </c>
      <c r="D40" s="8">
        <v>1</v>
      </c>
      <c r="E40" s="8">
        <v>4</v>
      </c>
      <c r="F40" s="9">
        <f t="shared" si="9"/>
        <v>4</v>
      </c>
      <c r="G40" s="10">
        <f>IF(H40=310,IF(ISERROR(0/C40/D40/E40/I40/J40/K40/M40),"VOID",ROUND(I40+J40+K40+M40-IF(C40&lt;20,1.25*C40,1.75*C40),-1)),"FALSE")</f>
        <v>4080</v>
      </c>
      <c r="H40" s="11">
        <v>310</v>
      </c>
      <c r="I40" s="8">
        <v>3375</v>
      </c>
      <c r="J40" s="8">
        <v>300</v>
      </c>
      <c r="K40" s="8">
        <v>375</v>
      </c>
      <c r="L40" s="12">
        <v>50</v>
      </c>
      <c r="M40" s="8">
        <v>50</v>
      </c>
      <c r="N40" s="8"/>
      <c r="O40" s="8"/>
      <c r="P40" s="8"/>
      <c r="Q40" s="8"/>
      <c r="R40" s="8"/>
      <c r="S40" s="33"/>
      <c r="T40" s="34">
        <f>IF(C40="","",ROUND(CHOOSE(MATCH(C40,{5,6,7,8,10,12,14,16,18,20,22,25,28,32,40},0),0.154,0.222,0.302,0.395,0.617,0.888,1.209,1.579,1.998,2.467,2.985,3.855,4.836,6.316,9.868)*D40*E40*G40/1000,3))</f>
        <v>25.768999999999998</v>
      </c>
      <c r="V40" s="39"/>
      <c r="W40" s="40"/>
      <c r="X40" s="40"/>
      <c r="Y40" s="40"/>
      <c r="Z40" s="40"/>
      <c r="AA40" s="40"/>
      <c r="AB40" s="40"/>
      <c r="AC40" s="40"/>
      <c r="AD40" s="40"/>
    </row>
    <row r="41" spans="1:30" ht="26.25" customHeight="1" x14ac:dyDescent="0.2">
      <c r="A41" s="6">
        <v>1001</v>
      </c>
      <c r="B41" s="6" t="s">
        <v>51</v>
      </c>
      <c r="C41" s="7">
        <v>10</v>
      </c>
      <c r="D41" s="8">
        <v>1</v>
      </c>
      <c r="E41" s="8">
        <v>30</v>
      </c>
      <c r="F41" s="9">
        <f t="shared" si="9"/>
        <v>30</v>
      </c>
      <c r="G41" s="10">
        <f>IF(H41=500,IF(ISERROR(0/C41/D41/E41/I41/J41/K41),"VOID",ROUND(2*(I41+J41+K41)-IF(C41&lt;20,6.25*C41,8.75*C41),-1)),"FALSE")</f>
        <v>900</v>
      </c>
      <c r="H41" s="11">
        <v>500</v>
      </c>
      <c r="I41" s="8">
        <v>175</v>
      </c>
      <c r="J41" s="8">
        <v>175</v>
      </c>
      <c r="K41" s="8">
        <f>CEILING(MAX(C41*13,),5)</f>
        <v>130</v>
      </c>
      <c r="L41" s="12"/>
      <c r="M41" s="8"/>
      <c r="N41" s="8"/>
      <c r="O41" s="8"/>
      <c r="P41" s="8"/>
      <c r="Q41" s="8"/>
      <c r="R41" s="8"/>
      <c r="S41" s="56"/>
      <c r="T41" s="34">
        <f>IF(C41="","",ROUND(CHOOSE(MATCH(C41,{5,6,7,8,10,12,14,16,18,20,22,25,28,32,40},0),0.154,0.222,0.302,0.395,0.617,0.888,1.209,1.579,1.998,2.467,2.985,3.855,4.836,6.316,9.868)*D41*E41*G41/1000,3))</f>
        <v>16.658999999999999</v>
      </c>
      <c r="V41" s="39"/>
      <c r="W41" s="40"/>
      <c r="X41" s="40"/>
      <c r="Y41" s="40"/>
      <c r="Z41" s="40"/>
      <c r="AA41" s="40"/>
      <c r="AB41" s="40"/>
      <c r="AC41" s="40"/>
      <c r="AD41" s="40"/>
    </row>
    <row r="42" spans="1:30" ht="26.25" customHeight="1" x14ac:dyDescent="0.2">
      <c r="A42" s="6">
        <v>1002</v>
      </c>
      <c r="B42" s="6" t="s">
        <v>51</v>
      </c>
      <c r="C42" s="7">
        <v>10</v>
      </c>
      <c r="D42" s="8">
        <v>1</v>
      </c>
      <c r="E42" s="8">
        <v>15</v>
      </c>
      <c r="F42" s="9">
        <f t="shared" ref="F42" si="13">D42*E42</f>
        <v>15</v>
      </c>
      <c r="G42" s="10">
        <f>IF(H42=500,IF(ISERROR(0/C42/D42/E42/I42/J42/K42),"VOID",ROUND(2*(I42+J42+K42)-IF(C42&lt;20,6.25*C42,8.75*C42),-1)),"FALSE")</f>
        <v>900</v>
      </c>
      <c r="H42" s="11">
        <v>500</v>
      </c>
      <c r="I42" s="8">
        <v>175</v>
      </c>
      <c r="J42" s="8">
        <v>175</v>
      </c>
      <c r="K42" s="8">
        <f>CEILING(MAX(C42*13,),5)</f>
        <v>130</v>
      </c>
      <c r="L42" s="12"/>
      <c r="M42" s="8"/>
      <c r="N42" s="8"/>
      <c r="O42" s="8"/>
      <c r="P42" s="8"/>
      <c r="Q42" s="8"/>
      <c r="R42" s="8"/>
      <c r="S42" s="56"/>
      <c r="T42" s="34">
        <f>IF(C42="","",ROUND(CHOOSE(MATCH(C42,{5,6,7,8,10,12,14,16,18,20,22,25,28,32,40},0),0.154,0.222,0.302,0.395,0.617,0.888,1.209,1.579,1.998,2.467,2.985,3.855,4.836,6.316,9.868)*D42*E42*G42/1000,3))</f>
        <v>8.33</v>
      </c>
      <c r="V42" s="39"/>
      <c r="W42" s="40"/>
      <c r="X42" s="40"/>
      <c r="Y42" s="40"/>
      <c r="Z42" s="40"/>
      <c r="AA42" s="40"/>
      <c r="AB42" s="40"/>
      <c r="AC42" s="40"/>
      <c r="AD42" s="40"/>
    </row>
    <row r="43" spans="1:30" ht="26.25" customHeight="1" x14ac:dyDescent="0.2">
      <c r="A43" s="6">
        <v>1003</v>
      </c>
      <c r="B43" s="6" t="s">
        <v>51</v>
      </c>
      <c r="C43" s="7">
        <v>10</v>
      </c>
      <c r="D43" s="8">
        <v>1</v>
      </c>
      <c r="E43" s="8">
        <v>15</v>
      </c>
      <c r="F43" s="9">
        <f t="shared" ref="F43" si="14">D43*E43</f>
        <v>15</v>
      </c>
      <c r="G43" s="10">
        <f>IF(H43=500,IF(ISERROR(0/C43/D43/E43/I43/J43/K43),"VOID",ROUND(2*(I43+J43+K43)-IF(C43&lt;20,6.25*C43,8.75*C43),-1)),"FALSE")</f>
        <v>900</v>
      </c>
      <c r="H43" s="11">
        <v>500</v>
      </c>
      <c r="I43" s="8">
        <v>175</v>
      </c>
      <c r="J43" s="8">
        <v>175</v>
      </c>
      <c r="K43" s="8">
        <f>CEILING(MAX(C43*13,),5)</f>
        <v>130</v>
      </c>
      <c r="L43" s="12"/>
      <c r="M43" s="8"/>
      <c r="N43" s="8"/>
      <c r="O43" s="8"/>
      <c r="P43" s="8"/>
      <c r="Q43" s="8"/>
      <c r="R43" s="8"/>
      <c r="S43" s="56"/>
      <c r="T43" s="34">
        <f>IF(C43="","",ROUND(CHOOSE(MATCH(C43,{5,6,7,8,10,12,14,16,18,20,22,25,28,32,40},0),0.154,0.222,0.302,0.395,0.617,0.888,1.209,1.579,1.998,2.467,2.985,3.855,4.836,6.316,9.868)*D43*E43*G43/1000,3))</f>
        <v>8.33</v>
      </c>
      <c r="V43" s="39"/>
      <c r="W43" s="40"/>
      <c r="X43" s="40"/>
      <c r="Y43" s="40"/>
      <c r="Z43" s="40"/>
      <c r="AA43" s="40"/>
      <c r="AB43" s="40"/>
      <c r="AC43" s="40"/>
      <c r="AD43" s="40"/>
    </row>
    <row r="44" spans="1:30" ht="26.25" customHeight="1" x14ac:dyDescent="0.2">
      <c r="A44" s="6">
        <v>1606</v>
      </c>
      <c r="B44" s="6" t="s">
        <v>52</v>
      </c>
      <c r="C44" s="7">
        <v>16</v>
      </c>
      <c r="D44" s="8">
        <v>2</v>
      </c>
      <c r="E44" s="8">
        <v>6</v>
      </c>
      <c r="F44" s="9">
        <f t="shared" ref="F44" si="15">D44*E44</f>
        <v>12</v>
      </c>
      <c r="G44" s="10">
        <f>IF(H44=222,IF(ISERROR(0/C44/D44/E44/I44/J44/K44),"VOID",ROUND(I44+J44+K44,-1)),"FALSE")</f>
        <v>1750</v>
      </c>
      <c r="H44" s="11">
        <v>222</v>
      </c>
      <c r="I44" s="8">
        <v>1000</v>
      </c>
      <c r="J44" s="8">
        <v>300</v>
      </c>
      <c r="K44" s="8">
        <v>450</v>
      </c>
      <c r="L44" s="38">
        <v>50</v>
      </c>
      <c r="M44" s="8"/>
      <c r="N44" s="37"/>
      <c r="O44" s="8"/>
      <c r="P44" s="8"/>
      <c r="Q44" s="8"/>
      <c r="R44" s="8"/>
      <c r="S44" s="33"/>
      <c r="T44" s="34">
        <f>IF(C44="","",ROUND(CHOOSE(MATCH(C44,{5,6,7,8,10,12,14,16,18,20,22,25,28,32,40},0),0.154,0.222,0.302,0.395,0.617,0.888,1.209,1.579,1.998,2.467,2.985,3.855,4.836,6.316,9.868)*D44*E44*G44/1000,3))</f>
        <v>33.158999999999999</v>
      </c>
      <c r="V44" s="39"/>
      <c r="W44" s="40"/>
      <c r="X44" s="40"/>
      <c r="Y44" s="40"/>
      <c r="Z44" s="40"/>
      <c r="AA44" s="40"/>
      <c r="AB44" s="40"/>
      <c r="AC44" s="40"/>
      <c r="AD44" s="40"/>
    </row>
    <row r="45" spans="1:30" ht="26.25" customHeight="1" x14ac:dyDescent="0.2">
      <c r="A45" s="6">
        <v>1608</v>
      </c>
      <c r="B45" s="6" t="s">
        <v>52</v>
      </c>
      <c r="C45" s="7">
        <v>16</v>
      </c>
      <c r="D45" s="8">
        <v>2</v>
      </c>
      <c r="E45" s="8">
        <v>16</v>
      </c>
      <c r="F45" s="9">
        <f t="shared" si="9"/>
        <v>32</v>
      </c>
      <c r="G45" s="10">
        <f>IF(H45=310,IF(ISERROR(0/C45/D45/E45/I45/J45/K45/M45),"VOID",ROUND(I45+J45+K45+M45-IF(C45&lt;20,1.25*C45,1.75*C45),-1)),"FALSE")</f>
        <v>4910</v>
      </c>
      <c r="H45" s="11">
        <v>310</v>
      </c>
      <c r="I45" s="8">
        <v>3375</v>
      </c>
      <c r="J45" s="8">
        <v>300</v>
      </c>
      <c r="K45" s="8">
        <v>1200</v>
      </c>
      <c r="L45" s="12">
        <v>50</v>
      </c>
      <c r="M45" s="8">
        <v>50</v>
      </c>
      <c r="N45" s="8"/>
      <c r="O45" s="8"/>
      <c r="P45" s="8"/>
      <c r="Q45" s="8"/>
      <c r="R45" s="8"/>
      <c r="S45" s="33"/>
      <c r="T45" s="34">
        <f>IF(C45="","",ROUND(CHOOSE(MATCH(C45,{5,6,7,8,10,12,14,16,18,20,22,25,28,32,40},0),0.154,0.222,0.302,0.395,0.617,0.888,1.209,1.579,1.998,2.467,2.985,3.855,4.836,6.316,9.868)*D45*E45*G45/1000,3))</f>
        <v>248.09200000000001</v>
      </c>
      <c r="V45" s="39"/>
      <c r="W45" s="40"/>
      <c r="X45" s="40"/>
      <c r="Y45" s="40"/>
      <c r="Z45" s="40"/>
      <c r="AA45" s="40"/>
      <c r="AB45" s="40"/>
      <c r="AC45" s="40"/>
      <c r="AD45" s="40"/>
    </row>
    <row r="46" spans="1:30" ht="26.25" customHeight="1" x14ac:dyDescent="0.2">
      <c r="A46" s="6">
        <v>1610</v>
      </c>
      <c r="B46" s="6" t="s">
        <v>52</v>
      </c>
      <c r="C46" s="7">
        <v>16</v>
      </c>
      <c r="D46" s="8">
        <v>2</v>
      </c>
      <c r="E46" s="8">
        <v>4</v>
      </c>
      <c r="F46" s="9">
        <f t="shared" si="9"/>
        <v>8</v>
      </c>
      <c r="G46" s="10">
        <f>IF(H46=310,IF(ISERROR(0/C46/D46/E46/I46/J46/K46/M46),"VOID",ROUND(I46+J46+K46+M46-IF(C46&lt;20,1.25*C46,1.75*C46),-1)),"FALSE")</f>
        <v>4080</v>
      </c>
      <c r="H46" s="11">
        <v>310</v>
      </c>
      <c r="I46" s="8">
        <v>3375</v>
      </c>
      <c r="J46" s="8">
        <v>300</v>
      </c>
      <c r="K46" s="8">
        <v>375</v>
      </c>
      <c r="L46" s="12">
        <v>50</v>
      </c>
      <c r="M46" s="8">
        <v>50</v>
      </c>
      <c r="N46" s="8"/>
      <c r="O46" s="8"/>
      <c r="P46" s="8"/>
      <c r="Q46" s="8"/>
      <c r="R46" s="8"/>
      <c r="S46" s="33"/>
      <c r="T46" s="34">
        <f>IF(C46="","",ROUND(CHOOSE(MATCH(C46,{5,6,7,8,10,12,14,16,18,20,22,25,28,32,40},0),0.154,0.222,0.302,0.395,0.617,0.888,1.209,1.579,1.998,2.467,2.985,3.855,4.836,6.316,9.868)*D46*E46*G46/1000,3))</f>
        <v>51.539000000000001</v>
      </c>
      <c r="V46" s="39"/>
      <c r="W46" s="40"/>
      <c r="X46" s="40"/>
      <c r="Y46" s="40"/>
      <c r="Z46" s="40"/>
      <c r="AA46" s="40"/>
      <c r="AB46" s="40"/>
      <c r="AC46" s="40"/>
      <c r="AD46" s="40"/>
    </row>
    <row r="47" spans="1:30" ht="26.25" customHeight="1" x14ac:dyDescent="0.2">
      <c r="A47" s="6">
        <v>1001</v>
      </c>
      <c r="B47" s="6" t="s">
        <v>52</v>
      </c>
      <c r="C47" s="7">
        <v>10</v>
      </c>
      <c r="D47" s="8">
        <v>2</v>
      </c>
      <c r="E47" s="8">
        <v>37</v>
      </c>
      <c r="F47" s="9">
        <f t="shared" si="9"/>
        <v>74</v>
      </c>
      <c r="G47" s="10">
        <f>IF(H47=500,IF(ISERROR(0/C47/D47/E47/I47/J47/K47),"VOID",ROUND(2*(I47+J47+K47)-IF(C47&lt;20,6.25*C47,8.75*C47),-1)),"FALSE")</f>
        <v>900</v>
      </c>
      <c r="H47" s="11">
        <v>500</v>
      </c>
      <c r="I47" s="8">
        <v>175</v>
      </c>
      <c r="J47" s="8">
        <v>175</v>
      </c>
      <c r="K47" s="8">
        <f>CEILING(MAX(C47*13,),5)</f>
        <v>130</v>
      </c>
      <c r="L47" s="12"/>
      <c r="M47" s="8"/>
      <c r="N47" s="8"/>
      <c r="O47" s="8"/>
      <c r="P47" s="8"/>
      <c r="Q47" s="8"/>
      <c r="R47" s="8"/>
      <c r="S47" s="58"/>
      <c r="T47" s="34">
        <f>IF(C47="","",ROUND(CHOOSE(MATCH(C47,{5,6,7,8,10,12,14,16,18,20,22,25,28,32,40},0),0.154,0.222,0.302,0.395,0.617,0.888,1.209,1.579,1.998,2.467,2.985,3.855,4.836,6.316,9.868)*D47*E47*G47/1000,3))</f>
        <v>41.091999999999999</v>
      </c>
      <c r="V47" s="39"/>
      <c r="W47" s="40"/>
      <c r="X47" s="40"/>
      <c r="Y47" s="40"/>
      <c r="Z47" s="40"/>
      <c r="AA47" s="40"/>
      <c r="AB47" s="40"/>
      <c r="AC47" s="40"/>
      <c r="AD47" s="40"/>
    </row>
    <row r="48" spans="1:30" ht="26.25" customHeight="1" x14ac:dyDescent="0.2">
      <c r="A48" s="6">
        <v>1002</v>
      </c>
      <c r="B48" s="6" t="s">
        <v>52</v>
      </c>
      <c r="C48" s="7">
        <v>10</v>
      </c>
      <c r="D48" s="8">
        <v>1</v>
      </c>
      <c r="E48" s="8">
        <v>15</v>
      </c>
      <c r="F48" s="9">
        <f t="shared" ref="F48:F49" si="16">D48*E48</f>
        <v>15</v>
      </c>
      <c r="G48" s="10">
        <f>IF(H48=500,IF(ISERROR(0/C48/D48/E48/I48/J48/K48),"VOID",ROUND(2*(I48+J48+K48)-IF(C48&lt;20,6.25*C48,8.75*C48),-1)),"FALSE")</f>
        <v>900</v>
      </c>
      <c r="H48" s="11">
        <v>500</v>
      </c>
      <c r="I48" s="8">
        <v>175</v>
      </c>
      <c r="J48" s="8">
        <v>175</v>
      </c>
      <c r="K48" s="8">
        <f>CEILING(MAX(C48*13,),5)</f>
        <v>130</v>
      </c>
      <c r="L48" s="12"/>
      <c r="M48" s="8"/>
      <c r="N48" s="8"/>
      <c r="O48" s="8"/>
      <c r="P48" s="8"/>
      <c r="Q48" s="8"/>
      <c r="R48" s="8"/>
      <c r="S48" s="58"/>
      <c r="T48" s="34">
        <f>IF(C48="","",ROUND(CHOOSE(MATCH(C48,{5,6,7,8,10,12,14,16,18,20,22,25,28,32,40},0),0.154,0.222,0.302,0.395,0.617,0.888,1.209,1.579,1.998,2.467,2.985,3.855,4.836,6.316,9.868)*D48*E48*G48/1000,3))</f>
        <v>8.33</v>
      </c>
      <c r="V48" s="39"/>
      <c r="W48" s="40"/>
      <c r="X48" s="40"/>
      <c r="Y48" s="40"/>
      <c r="Z48" s="40"/>
      <c r="AA48" s="40"/>
      <c r="AB48" s="40"/>
      <c r="AC48" s="40"/>
      <c r="AD48" s="40"/>
    </row>
    <row r="49" spans="1:30" ht="26.25" customHeight="1" x14ac:dyDescent="0.2">
      <c r="A49" s="6">
        <v>1003</v>
      </c>
      <c r="B49" s="6" t="s">
        <v>52</v>
      </c>
      <c r="C49" s="7">
        <v>10</v>
      </c>
      <c r="D49" s="8">
        <v>1</v>
      </c>
      <c r="E49" s="8">
        <v>15</v>
      </c>
      <c r="F49" s="9">
        <f t="shared" si="16"/>
        <v>15</v>
      </c>
      <c r="G49" s="10">
        <f>IF(H49=500,IF(ISERROR(0/C49/D49/E49/I49/J49/K49),"VOID",ROUND(2*(I49+J49+K49)-IF(C49&lt;20,6.25*C49,8.75*C49),-1)),"FALSE")</f>
        <v>900</v>
      </c>
      <c r="H49" s="11">
        <v>500</v>
      </c>
      <c r="I49" s="8">
        <v>175</v>
      </c>
      <c r="J49" s="8">
        <v>175</v>
      </c>
      <c r="K49" s="8">
        <f>CEILING(MAX(C49*13,),5)</f>
        <v>130</v>
      </c>
      <c r="L49" s="12"/>
      <c r="M49" s="8"/>
      <c r="N49" s="8"/>
      <c r="O49" s="8"/>
      <c r="P49" s="8"/>
      <c r="Q49" s="8"/>
      <c r="R49" s="8"/>
      <c r="S49" s="58"/>
      <c r="T49" s="34">
        <f>IF(C49="","",ROUND(CHOOSE(MATCH(C49,{5,6,7,8,10,12,14,16,18,20,22,25,28,32,40},0),0.154,0.222,0.302,0.395,0.617,0.888,1.209,1.579,1.998,2.467,2.985,3.855,4.836,6.316,9.868)*D49*E49*G49/1000,3))</f>
        <v>8.33</v>
      </c>
      <c r="V49" s="39"/>
      <c r="W49" s="40"/>
      <c r="X49" s="40"/>
      <c r="Y49" s="40"/>
      <c r="Z49" s="40"/>
      <c r="AA49" s="40"/>
      <c r="AB49" s="40"/>
      <c r="AC49" s="40"/>
      <c r="AD49" s="40"/>
    </row>
    <row r="50" spans="1:30" ht="26.25" customHeight="1" x14ac:dyDescent="0.2">
      <c r="A50" s="6">
        <v>1606</v>
      </c>
      <c r="B50" s="6" t="s">
        <v>53</v>
      </c>
      <c r="C50" s="7">
        <v>16</v>
      </c>
      <c r="D50" s="8">
        <v>2</v>
      </c>
      <c r="E50" s="8">
        <v>6</v>
      </c>
      <c r="F50" s="9">
        <f t="shared" si="9"/>
        <v>12</v>
      </c>
      <c r="G50" s="10">
        <f>IF(H50=222,IF(ISERROR(0/C50/D50/E50/I50/J50/K50),"VOID",ROUND(I50+J50+K50,-1)),"FALSE")</f>
        <v>1750</v>
      </c>
      <c r="H50" s="11">
        <v>222</v>
      </c>
      <c r="I50" s="8">
        <v>1000</v>
      </c>
      <c r="J50" s="8">
        <v>300</v>
      </c>
      <c r="K50" s="8">
        <v>450</v>
      </c>
      <c r="L50" s="38">
        <v>50</v>
      </c>
      <c r="M50" s="8"/>
      <c r="N50" s="37"/>
      <c r="O50" s="8"/>
      <c r="P50" s="8"/>
      <c r="Q50" s="8"/>
      <c r="R50" s="8"/>
      <c r="S50" s="33"/>
      <c r="T50" s="34">
        <f>IF(C50="","",ROUND(CHOOSE(MATCH(C50,{5,6,7,8,10,12,14,16,18,20,22,25,28,32,40},0),0.154,0.222,0.302,0.395,0.617,0.888,1.209,1.579,1.998,2.467,2.985,3.855,4.836,6.316,9.868)*D50*E50*G50/1000,3))</f>
        <v>33.158999999999999</v>
      </c>
      <c r="V50" s="39"/>
      <c r="W50" s="40"/>
      <c r="X50" s="40"/>
      <c r="Y50" s="40"/>
      <c r="Z50" s="40"/>
      <c r="AA50" s="40"/>
      <c r="AB50" s="40"/>
      <c r="AC50" s="40"/>
      <c r="AD50" s="40"/>
    </row>
    <row r="51" spans="1:30" ht="26.25" customHeight="1" x14ac:dyDescent="0.2">
      <c r="A51" s="6">
        <v>1608</v>
      </c>
      <c r="B51" s="6" t="s">
        <v>53</v>
      </c>
      <c r="C51" s="7">
        <v>16</v>
      </c>
      <c r="D51" s="8">
        <v>2</v>
      </c>
      <c r="E51" s="8">
        <v>16</v>
      </c>
      <c r="F51" s="9">
        <f t="shared" ref="F51:F60" si="17">D51*E51</f>
        <v>32</v>
      </c>
      <c r="G51" s="10">
        <f>IF(H51=310,IF(ISERROR(0/C51/D51/E51/I51/J51/K51/M51),"VOID",ROUND(I51+J51+K51+M51-IF(C51&lt;20,1.25*C51,1.75*C51),-1)),"FALSE")</f>
        <v>4910</v>
      </c>
      <c r="H51" s="11">
        <v>310</v>
      </c>
      <c r="I51" s="8">
        <v>3375</v>
      </c>
      <c r="J51" s="8">
        <v>300</v>
      </c>
      <c r="K51" s="8">
        <v>1200</v>
      </c>
      <c r="L51" s="12">
        <v>50</v>
      </c>
      <c r="M51" s="51">
        <v>50</v>
      </c>
      <c r="N51" s="8"/>
      <c r="O51" s="8"/>
      <c r="P51" s="8"/>
      <c r="Q51" s="8"/>
      <c r="R51" s="8"/>
      <c r="S51" s="33"/>
      <c r="T51" s="34">
        <f>IF(C51="","",ROUND(CHOOSE(MATCH(C51,{5,6,7,8,10,12,14,16,18,20,22,25,28,32,40},0),0.154,0.222,0.302,0.395,0.617,0.888,1.209,1.579,1.998,2.467,2.985,3.855,4.836,6.316,9.868)*D51*E51*G51/1000,3))</f>
        <v>248.09200000000001</v>
      </c>
      <c r="V51" s="39"/>
      <c r="W51" s="40"/>
      <c r="X51" s="40"/>
      <c r="Y51" s="40"/>
      <c r="Z51" s="40"/>
      <c r="AA51" s="40"/>
      <c r="AB51" s="40"/>
      <c r="AC51" s="40"/>
      <c r="AD51" s="40"/>
    </row>
    <row r="52" spans="1:30" ht="26.25" customHeight="1" x14ac:dyDescent="0.2">
      <c r="A52" s="6">
        <v>1610</v>
      </c>
      <c r="B52" s="6" t="s">
        <v>53</v>
      </c>
      <c r="C52" s="7">
        <v>16</v>
      </c>
      <c r="D52" s="8">
        <v>2</v>
      </c>
      <c r="E52" s="8">
        <v>4</v>
      </c>
      <c r="F52" s="9">
        <f t="shared" si="17"/>
        <v>8</v>
      </c>
      <c r="G52" s="10">
        <f>IF(H52=310,IF(ISERROR(0/C52/D52/E52/I52/J52/K52/M52),"VOID",ROUND(I52+J52+K52+M52-IF(C52&lt;20,1.25*C52,1.75*C52),-1)),"FALSE")</f>
        <v>4080</v>
      </c>
      <c r="H52" s="11">
        <v>310</v>
      </c>
      <c r="I52" s="8">
        <v>3375</v>
      </c>
      <c r="J52" s="8">
        <v>300</v>
      </c>
      <c r="K52" s="8">
        <v>375</v>
      </c>
      <c r="L52" s="12">
        <v>50</v>
      </c>
      <c r="M52" s="8">
        <v>50</v>
      </c>
      <c r="N52" s="8"/>
      <c r="O52" s="8"/>
      <c r="P52" s="8"/>
      <c r="Q52" s="8"/>
      <c r="R52" s="8"/>
      <c r="S52" s="33"/>
      <c r="T52" s="34">
        <f>IF(C52="","",ROUND(CHOOSE(MATCH(C52,{5,6,7,8,10,12,14,16,18,20,22,25,28,32,40},0),0.154,0.222,0.302,0.395,0.617,0.888,1.209,1.579,1.998,2.467,2.985,3.855,4.836,6.316,9.868)*D52*E52*G52/1000,3))</f>
        <v>51.539000000000001</v>
      </c>
      <c r="V52" s="39"/>
      <c r="W52" s="40"/>
      <c r="X52" s="40"/>
      <c r="Y52" s="40"/>
      <c r="Z52" s="40"/>
      <c r="AA52" s="40"/>
      <c r="AB52" s="40"/>
      <c r="AC52" s="40"/>
      <c r="AD52" s="40"/>
    </row>
    <row r="53" spans="1:30" ht="26.25" customHeight="1" x14ac:dyDescent="0.2">
      <c r="A53" s="6">
        <v>1001</v>
      </c>
      <c r="B53" s="6" t="s">
        <v>53</v>
      </c>
      <c r="C53" s="7">
        <v>10</v>
      </c>
      <c r="D53" s="8">
        <v>2</v>
      </c>
      <c r="E53" s="8">
        <v>22</v>
      </c>
      <c r="F53" s="9">
        <f t="shared" si="17"/>
        <v>44</v>
      </c>
      <c r="G53" s="10">
        <f>IF(H53=500,IF(ISERROR(0/C53/D53/E53/I53/J53/K53),"VOID",ROUND(2*(I53+J53+K53)-IF(C53&lt;20,6.25*C53,8.75*C53),-1)),"FALSE")</f>
        <v>900</v>
      </c>
      <c r="H53" s="11">
        <v>500</v>
      </c>
      <c r="I53" s="8">
        <v>175</v>
      </c>
      <c r="J53" s="8">
        <v>175</v>
      </c>
      <c r="K53" s="8">
        <f>CEILING(MAX(C53*13,),5)</f>
        <v>130</v>
      </c>
      <c r="L53" s="12"/>
      <c r="M53" s="8"/>
      <c r="N53" s="8"/>
      <c r="O53" s="8"/>
      <c r="P53" s="8"/>
      <c r="Q53" s="8"/>
      <c r="R53" s="8"/>
      <c r="S53" s="59"/>
      <c r="T53" s="34">
        <f>IF(C53="","",ROUND(CHOOSE(MATCH(C53,{5,6,7,8,10,12,14,16,18,20,22,25,28,32,40},0),0.154,0.222,0.302,0.395,0.617,0.888,1.209,1.579,1.998,2.467,2.985,3.855,4.836,6.316,9.868)*D53*E53*G53/1000,3))</f>
        <v>24.433</v>
      </c>
      <c r="V53" s="39"/>
      <c r="W53" s="40"/>
      <c r="X53" s="40"/>
      <c r="Y53" s="40"/>
      <c r="Z53" s="40"/>
      <c r="AA53" s="40"/>
      <c r="AB53" s="40"/>
      <c r="AC53" s="40"/>
      <c r="AD53" s="40"/>
    </row>
    <row r="54" spans="1:30" ht="26.25" customHeight="1" x14ac:dyDescent="0.2">
      <c r="A54" s="6">
        <v>1002</v>
      </c>
      <c r="B54" s="6" t="s">
        <v>53</v>
      </c>
      <c r="C54" s="7">
        <v>10</v>
      </c>
      <c r="D54" s="8">
        <v>2</v>
      </c>
      <c r="E54" s="8">
        <v>15</v>
      </c>
      <c r="F54" s="9">
        <f t="shared" si="17"/>
        <v>30</v>
      </c>
      <c r="G54" s="10">
        <f>IF(H54=500,IF(ISERROR(0/C54/D54/E54/I54/J54/K54),"VOID",ROUND(2*(I54+J54+K54)-IF(C54&lt;20,6.25*C54,8.75*C54),-1)),"FALSE")</f>
        <v>900</v>
      </c>
      <c r="H54" s="11">
        <v>500</v>
      </c>
      <c r="I54" s="8">
        <v>175</v>
      </c>
      <c r="J54" s="8">
        <v>175</v>
      </c>
      <c r="K54" s="8">
        <f>CEILING(MAX(C54*13,),5)</f>
        <v>130</v>
      </c>
      <c r="L54" s="12"/>
      <c r="M54" s="8"/>
      <c r="N54" s="8"/>
      <c r="O54" s="8"/>
      <c r="P54" s="8"/>
      <c r="Q54" s="8"/>
      <c r="R54" s="8"/>
      <c r="S54" s="59"/>
      <c r="T54" s="34">
        <f>IF(C54="","",ROUND(CHOOSE(MATCH(C54,{5,6,7,8,10,12,14,16,18,20,22,25,28,32,40},0),0.154,0.222,0.302,0.395,0.617,0.888,1.209,1.579,1.998,2.467,2.985,3.855,4.836,6.316,9.868)*D54*E54*G54/1000,3))</f>
        <v>16.658999999999999</v>
      </c>
      <c r="V54" s="39"/>
      <c r="W54" s="40"/>
      <c r="X54" s="40"/>
      <c r="Y54" s="40"/>
      <c r="Z54" s="40"/>
      <c r="AA54" s="40"/>
      <c r="AB54" s="40"/>
      <c r="AC54" s="40"/>
      <c r="AD54" s="40"/>
    </row>
    <row r="55" spans="1:30" ht="26.25" customHeight="1" x14ac:dyDescent="0.2">
      <c r="A55" s="6">
        <v>1003</v>
      </c>
      <c r="B55" s="6" t="s">
        <v>53</v>
      </c>
      <c r="C55" s="7">
        <v>10</v>
      </c>
      <c r="D55" s="8">
        <v>1</v>
      </c>
      <c r="E55" s="8">
        <v>15</v>
      </c>
      <c r="F55" s="9">
        <f t="shared" si="17"/>
        <v>15</v>
      </c>
      <c r="G55" s="10">
        <f>IF(H55=500,IF(ISERROR(0/C55/D55/E55/I55/J55/K55),"VOID",ROUND(2*(I55+J55+K55)-IF(C55&lt;20,6.25*C55,8.75*C55),-1)),"FALSE")</f>
        <v>900</v>
      </c>
      <c r="H55" s="11">
        <v>500</v>
      </c>
      <c r="I55" s="8">
        <v>175</v>
      </c>
      <c r="J55" s="8">
        <v>175</v>
      </c>
      <c r="K55" s="8">
        <f>CEILING(MAX(C55*13,),5)</f>
        <v>130</v>
      </c>
      <c r="L55" s="12"/>
      <c r="M55" s="8"/>
      <c r="N55" s="8"/>
      <c r="O55" s="8"/>
      <c r="P55" s="8"/>
      <c r="Q55" s="8"/>
      <c r="R55" s="8"/>
      <c r="S55" s="59"/>
      <c r="T55" s="34">
        <f>IF(C55="","",ROUND(CHOOSE(MATCH(C55,{5,6,7,8,10,12,14,16,18,20,22,25,28,32,40},0),0.154,0.222,0.302,0.395,0.617,0.888,1.209,1.579,1.998,2.467,2.985,3.855,4.836,6.316,9.868)*D55*E55*G55/1000,3))</f>
        <v>8.33</v>
      </c>
      <c r="V55" s="39"/>
      <c r="W55" s="40"/>
      <c r="X55" s="40"/>
      <c r="Y55" s="40"/>
      <c r="Z55" s="40"/>
      <c r="AA55" s="40"/>
      <c r="AB55" s="40"/>
      <c r="AC55" s="40"/>
      <c r="AD55" s="40"/>
    </row>
    <row r="56" spans="1:30" ht="26.25" customHeight="1" x14ac:dyDescent="0.2">
      <c r="A56" s="6">
        <v>1004</v>
      </c>
      <c r="B56" s="6" t="s">
        <v>53</v>
      </c>
      <c r="C56" s="7">
        <v>10</v>
      </c>
      <c r="D56" s="8">
        <v>1</v>
      </c>
      <c r="E56" s="8">
        <v>15</v>
      </c>
      <c r="F56" s="9">
        <f t="shared" si="17"/>
        <v>15</v>
      </c>
      <c r="G56" s="10">
        <f>IF(H56=500,IF(ISERROR(0/C56/D56/E56/I56/J56/K56),"VOID",ROUND(2*(I56+J56+K56)-IF(C56&lt;20,6.25*C56,8.75*C56),-1)),"FALSE")</f>
        <v>900</v>
      </c>
      <c r="H56" s="11">
        <v>500</v>
      </c>
      <c r="I56" s="8">
        <v>175</v>
      </c>
      <c r="J56" s="8">
        <v>175</v>
      </c>
      <c r="K56" s="8">
        <f>CEILING(MAX(C56*13,),5)</f>
        <v>130</v>
      </c>
      <c r="L56" s="12"/>
      <c r="M56" s="8"/>
      <c r="N56" s="8"/>
      <c r="O56" s="8"/>
      <c r="P56" s="8"/>
      <c r="Q56" s="8"/>
      <c r="R56" s="8"/>
      <c r="S56" s="59"/>
      <c r="T56" s="34">
        <f>IF(C56="","",ROUND(CHOOSE(MATCH(C56,{5,6,7,8,10,12,14,16,18,20,22,25,28,32,40},0),0.154,0.222,0.302,0.395,0.617,0.888,1.209,1.579,1.998,2.467,2.985,3.855,4.836,6.316,9.868)*D56*E56*G56/1000,3))</f>
        <v>8.33</v>
      </c>
      <c r="V56" s="39"/>
      <c r="W56" s="40"/>
      <c r="X56" s="40"/>
      <c r="Y56" s="40"/>
      <c r="Z56" s="40"/>
      <c r="AA56" s="40"/>
      <c r="AB56" s="40"/>
      <c r="AC56" s="40"/>
      <c r="AD56" s="40"/>
    </row>
    <row r="57" spans="1:30" ht="26.25" customHeight="1" x14ac:dyDescent="0.2">
      <c r="A57" s="6">
        <v>1606</v>
      </c>
      <c r="B57" s="6" t="s">
        <v>54</v>
      </c>
      <c r="C57" s="7">
        <v>16</v>
      </c>
      <c r="D57" s="8">
        <v>2</v>
      </c>
      <c r="E57" s="8">
        <v>4</v>
      </c>
      <c r="F57" s="9">
        <f t="shared" si="17"/>
        <v>8</v>
      </c>
      <c r="G57" s="10">
        <f>IF(H57=222,IF(ISERROR(0/C57/D57/E57/I57/J57/K57),"VOID",ROUND(I57+J57+K57,-1)),"FALSE")</f>
        <v>1750</v>
      </c>
      <c r="H57" s="11">
        <v>222</v>
      </c>
      <c r="I57" s="8">
        <v>1000</v>
      </c>
      <c r="J57" s="8">
        <v>300</v>
      </c>
      <c r="K57" s="8">
        <v>450</v>
      </c>
      <c r="L57" s="38">
        <v>50</v>
      </c>
      <c r="M57" s="8"/>
      <c r="N57" s="37"/>
      <c r="O57" s="8"/>
      <c r="P57" s="8"/>
      <c r="Q57" s="8"/>
      <c r="R57" s="8"/>
      <c r="S57" s="33"/>
      <c r="T57" s="34">
        <f>IF(C57="","",ROUND(CHOOSE(MATCH(C57,{5,6,7,8,10,12,14,16,18,20,22,25,28,32,40},0),0.154,0.222,0.302,0.395,0.617,0.888,1.209,1.579,1.998,2.467,2.985,3.855,4.836,6.316,9.868)*D57*E57*G57/1000,3))</f>
        <v>22.106000000000002</v>
      </c>
      <c r="V57" s="39"/>
      <c r="W57" s="40"/>
      <c r="X57" s="40"/>
      <c r="Y57" s="40"/>
      <c r="Z57" s="40"/>
      <c r="AA57" s="40"/>
      <c r="AB57" s="40"/>
      <c r="AC57" s="40"/>
      <c r="AD57" s="40"/>
    </row>
    <row r="58" spans="1:30" ht="26.25" customHeight="1" x14ac:dyDescent="0.2">
      <c r="A58" s="6">
        <v>1608</v>
      </c>
      <c r="B58" s="6" t="s">
        <v>54</v>
      </c>
      <c r="C58" s="7">
        <v>16</v>
      </c>
      <c r="D58" s="8">
        <v>2</v>
      </c>
      <c r="E58" s="8">
        <v>8</v>
      </c>
      <c r="F58" s="9">
        <f t="shared" si="17"/>
        <v>16</v>
      </c>
      <c r="G58" s="10">
        <f>IF(H58=310,IF(ISERROR(0/C58/D58/E58/I58/J58/K58/M58),"VOID",ROUND(I58+J58+K58+M58-IF(C58&lt;20,1.25*C58,1.75*C58),-1)),"FALSE")</f>
        <v>4910</v>
      </c>
      <c r="H58" s="11">
        <v>310</v>
      </c>
      <c r="I58" s="8">
        <v>3375</v>
      </c>
      <c r="J58" s="8">
        <v>300</v>
      </c>
      <c r="K58" s="8">
        <v>1200</v>
      </c>
      <c r="L58" s="12">
        <v>50</v>
      </c>
      <c r="M58" s="51">
        <v>50</v>
      </c>
      <c r="N58" s="8"/>
      <c r="O58" s="8"/>
      <c r="P58" s="8"/>
      <c r="Q58" s="8"/>
      <c r="R58" s="8"/>
      <c r="S58" s="33"/>
      <c r="T58" s="34">
        <f>IF(C58="","",ROUND(CHOOSE(MATCH(C58,{5,6,7,8,10,12,14,16,18,20,22,25,28,32,40},0),0.154,0.222,0.302,0.395,0.617,0.888,1.209,1.579,1.998,2.467,2.985,3.855,4.836,6.316,9.868)*D58*E58*G58/1000,3))</f>
        <v>124.04600000000001</v>
      </c>
      <c r="V58" s="39"/>
      <c r="W58" s="40"/>
      <c r="X58" s="40"/>
      <c r="Y58" s="40"/>
      <c r="Z58" s="40"/>
      <c r="AA58" s="40"/>
      <c r="AB58" s="40"/>
      <c r="AC58" s="40"/>
      <c r="AD58" s="40"/>
    </row>
    <row r="59" spans="1:30" ht="26.25" customHeight="1" x14ac:dyDescent="0.2">
      <c r="A59" s="6">
        <v>1610</v>
      </c>
      <c r="B59" s="6" t="s">
        <v>54</v>
      </c>
      <c r="C59" s="7">
        <v>16</v>
      </c>
      <c r="D59" s="8">
        <v>2</v>
      </c>
      <c r="E59" s="8">
        <v>4</v>
      </c>
      <c r="F59" s="9">
        <f t="shared" si="17"/>
        <v>8</v>
      </c>
      <c r="G59" s="10">
        <f>IF(H59=310,IF(ISERROR(0/C59/D59/E59/I59/J59/K59/M59),"VOID",ROUND(I59+J59+K59+M59-IF(C59&lt;20,1.25*C59,1.75*C59),-1)),"FALSE")</f>
        <v>4080</v>
      </c>
      <c r="H59" s="11">
        <v>310</v>
      </c>
      <c r="I59" s="8">
        <v>3375</v>
      </c>
      <c r="J59" s="8">
        <v>300</v>
      </c>
      <c r="K59" s="8">
        <v>375</v>
      </c>
      <c r="L59" s="12">
        <v>50</v>
      </c>
      <c r="M59" s="8">
        <v>50</v>
      </c>
      <c r="N59" s="8"/>
      <c r="O59" s="8"/>
      <c r="P59" s="8"/>
      <c r="Q59" s="8"/>
      <c r="R59" s="8"/>
      <c r="S59" s="33"/>
      <c r="T59" s="34">
        <f>IF(C59="","",ROUND(CHOOSE(MATCH(C59,{5,6,7,8,10,12,14,16,18,20,22,25,28,32,40},0),0.154,0.222,0.302,0.395,0.617,0.888,1.209,1.579,1.998,2.467,2.985,3.855,4.836,6.316,9.868)*D59*E59*G59/1000,3))</f>
        <v>51.539000000000001</v>
      </c>
      <c r="V59" s="39"/>
      <c r="W59" s="40"/>
      <c r="X59" s="40"/>
      <c r="Y59" s="40"/>
      <c r="Z59" s="40"/>
      <c r="AA59" s="40"/>
      <c r="AB59" s="40"/>
      <c r="AC59" s="40"/>
      <c r="AD59" s="40"/>
    </row>
    <row r="60" spans="1:30" ht="26.25" customHeight="1" x14ac:dyDescent="0.2">
      <c r="A60" s="6">
        <v>1001</v>
      </c>
      <c r="B60" s="6" t="s">
        <v>54</v>
      </c>
      <c r="C60" s="7">
        <v>10</v>
      </c>
      <c r="D60" s="8">
        <v>2</v>
      </c>
      <c r="E60" s="8">
        <v>45</v>
      </c>
      <c r="F60" s="9">
        <f t="shared" si="17"/>
        <v>90</v>
      </c>
      <c r="G60" s="10">
        <f>IF(H60=500,IF(ISERROR(0/C60/D60/E60/I60/J60/K60),"VOID",ROUND(2*(I60+J60+K60)-IF(C60&lt;20,6.25*C60,8.75*C60),-1)),"FALSE")</f>
        <v>900</v>
      </c>
      <c r="H60" s="11">
        <v>500</v>
      </c>
      <c r="I60" s="8">
        <v>175</v>
      </c>
      <c r="J60" s="8">
        <v>175</v>
      </c>
      <c r="K60" s="8">
        <f>CEILING(MAX(C60*13,),5)</f>
        <v>130</v>
      </c>
      <c r="L60" s="12"/>
      <c r="M60" s="8"/>
      <c r="N60" s="8"/>
      <c r="O60" s="8"/>
      <c r="P60" s="8"/>
      <c r="Q60" s="8"/>
      <c r="R60" s="8"/>
      <c r="S60" s="56"/>
      <c r="T60" s="34">
        <f>IF(C60="","",ROUND(CHOOSE(MATCH(C60,{5,6,7,8,10,12,14,16,18,20,22,25,28,32,40},0),0.154,0.222,0.302,0.395,0.617,0.888,1.209,1.579,1.998,2.467,2.985,3.855,4.836,6.316,9.868)*D60*E60*G60/1000,3))</f>
        <v>49.976999999999997</v>
      </c>
      <c r="V60" s="39"/>
      <c r="W60" s="40"/>
      <c r="X60" s="40"/>
      <c r="Y60" s="40"/>
      <c r="Z60" s="40"/>
      <c r="AA60" s="40"/>
      <c r="AB60" s="40"/>
      <c r="AC60" s="40"/>
      <c r="AD60" s="40"/>
    </row>
    <row r="61" spans="1:30" ht="26.25" customHeight="1" x14ac:dyDescent="0.2">
      <c r="A61" s="6">
        <v>1606</v>
      </c>
      <c r="B61" s="6" t="s">
        <v>55</v>
      </c>
      <c r="C61" s="7">
        <v>16</v>
      </c>
      <c r="D61" s="8">
        <v>2</v>
      </c>
      <c r="E61" s="8">
        <v>4</v>
      </c>
      <c r="F61" s="9">
        <f t="shared" ref="F61:F69" si="18">D61*E61</f>
        <v>8</v>
      </c>
      <c r="G61" s="10">
        <f>IF(H61=222,IF(ISERROR(0/C61/D61/E61/I61/J61/K61),"VOID",ROUND(I61+J61+K61,-1)),"FALSE")</f>
        <v>1750</v>
      </c>
      <c r="H61" s="11">
        <v>222</v>
      </c>
      <c r="I61" s="8">
        <v>1000</v>
      </c>
      <c r="J61" s="8">
        <v>300</v>
      </c>
      <c r="K61" s="8">
        <v>450</v>
      </c>
      <c r="L61" s="38">
        <v>50</v>
      </c>
      <c r="M61" s="8"/>
      <c r="N61" s="37"/>
      <c r="O61" s="8"/>
      <c r="P61" s="8"/>
      <c r="Q61" s="8"/>
      <c r="R61" s="8"/>
      <c r="S61" s="33"/>
      <c r="T61" s="34">
        <f>IF(C61="","",ROUND(CHOOSE(MATCH(C61,{5,6,7,8,10,12,14,16,18,20,22,25,28,32,40},0),0.154,0.222,0.302,0.395,0.617,0.888,1.209,1.579,1.998,2.467,2.985,3.855,4.836,6.316,9.868)*D61*E61*G61/1000,3))</f>
        <v>22.106000000000002</v>
      </c>
      <c r="V61" s="39"/>
      <c r="W61" s="40"/>
      <c r="X61" s="40"/>
      <c r="Y61" s="40"/>
      <c r="Z61" s="40"/>
      <c r="AA61" s="40"/>
      <c r="AB61" s="40"/>
      <c r="AC61" s="40"/>
      <c r="AD61" s="40"/>
    </row>
    <row r="62" spans="1:30" ht="26.25" customHeight="1" x14ac:dyDescent="0.2">
      <c r="A62" s="6">
        <v>1608</v>
      </c>
      <c r="B62" s="6" t="s">
        <v>55</v>
      </c>
      <c r="C62" s="7">
        <v>16</v>
      </c>
      <c r="D62" s="8">
        <v>2</v>
      </c>
      <c r="E62" s="8">
        <v>8</v>
      </c>
      <c r="F62" s="9">
        <f t="shared" si="18"/>
        <v>16</v>
      </c>
      <c r="G62" s="10">
        <f>IF(H62=310,IF(ISERROR(0/C62/D62/E62/I62/J62/K62/M62),"VOID",ROUND(I62+J62+K62+M62-IF(C62&lt;20,1.25*C62,1.75*C62),-1)),"FALSE")</f>
        <v>4910</v>
      </c>
      <c r="H62" s="11">
        <v>310</v>
      </c>
      <c r="I62" s="8">
        <v>3375</v>
      </c>
      <c r="J62" s="8">
        <v>300</v>
      </c>
      <c r="K62" s="8">
        <v>1200</v>
      </c>
      <c r="L62" s="12">
        <v>50</v>
      </c>
      <c r="M62" s="51">
        <v>50</v>
      </c>
      <c r="N62" s="8"/>
      <c r="O62" s="8"/>
      <c r="P62" s="8"/>
      <c r="Q62" s="8"/>
      <c r="R62" s="8"/>
      <c r="S62" s="33"/>
      <c r="T62" s="34">
        <f>IF(C62="","",ROUND(CHOOSE(MATCH(C62,{5,6,7,8,10,12,14,16,18,20,22,25,28,32,40},0),0.154,0.222,0.302,0.395,0.617,0.888,1.209,1.579,1.998,2.467,2.985,3.855,4.836,6.316,9.868)*D62*E62*G62/1000,3))</f>
        <v>124.04600000000001</v>
      </c>
      <c r="V62" s="39"/>
      <c r="W62" s="40"/>
      <c r="X62" s="40"/>
      <c r="Y62" s="40"/>
      <c r="Z62" s="40"/>
      <c r="AA62" s="40"/>
      <c r="AB62" s="40"/>
      <c r="AC62" s="40"/>
      <c r="AD62" s="40"/>
    </row>
    <row r="63" spans="1:30" ht="26.25" customHeight="1" x14ac:dyDescent="0.2">
      <c r="A63" s="6">
        <v>1610</v>
      </c>
      <c r="B63" s="6" t="s">
        <v>55</v>
      </c>
      <c r="C63" s="7">
        <v>16</v>
      </c>
      <c r="D63" s="8">
        <v>2</v>
      </c>
      <c r="E63" s="8">
        <v>4</v>
      </c>
      <c r="F63" s="9">
        <f t="shared" si="18"/>
        <v>8</v>
      </c>
      <c r="G63" s="10">
        <f>IF(H63=310,IF(ISERROR(0/C63/D63/E63/I63/J63/K63/M63),"VOID",ROUND(I63+J63+K63+M63-IF(C63&lt;20,1.25*C63,1.75*C63),-1)),"FALSE")</f>
        <v>4080</v>
      </c>
      <c r="H63" s="11">
        <v>310</v>
      </c>
      <c r="I63" s="8">
        <v>3375</v>
      </c>
      <c r="J63" s="8">
        <v>300</v>
      </c>
      <c r="K63" s="8">
        <v>375</v>
      </c>
      <c r="L63" s="12">
        <v>50</v>
      </c>
      <c r="M63" s="8">
        <v>50</v>
      </c>
      <c r="N63" s="8"/>
      <c r="O63" s="8"/>
      <c r="P63" s="8"/>
      <c r="Q63" s="8"/>
      <c r="R63" s="8"/>
      <c r="S63" s="33"/>
      <c r="T63" s="34">
        <f>IF(C63="","",ROUND(CHOOSE(MATCH(C63,{5,6,7,8,10,12,14,16,18,20,22,25,28,32,40},0),0.154,0.222,0.302,0.395,0.617,0.888,1.209,1.579,1.998,2.467,2.985,3.855,4.836,6.316,9.868)*D63*E63*G63/1000,3))</f>
        <v>51.539000000000001</v>
      </c>
      <c r="V63" s="39"/>
      <c r="W63" s="40"/>
      <c r="X63" s="40"/>
      <c r="Y63" s="40"/>
      <c r="Z63" s="40"/>
      <c r="AA63" s="40"/>
      <c r="AB63" s="40"/>
      <c r="AC63" s="40"/>
      <c r="AD63" s="40"/>
    </row>
    <row r="64" spans="1:30" ht="26.25" customHeight="1" x14ac:dyDescent="0.2">
      <c r="A64" s="6">
        <v>1001</v>
      </c>
      <c r="B64" s="6" t="s">
        <v>55</v>
      </c>
      <c r="C64" s="7">
        <v>10</v>
      </c>
      <c r="D64" s="8">
        <v>2</v>
      </c>
      <c r="E64" s="8">
        <v>27</v>
      </c>
      <c r="F64" s="9">
        <f t="shared" si="18"/>
        <v>54</v>
      </c>
      <c r="G64" s="10">
        <f>IF(H64=500,IF(ISERROR(0/C64/D64/E64/I64/J64/K64),"VOID",ROUND(2*(I64+J64+K64)-IF(C64&lt;20,6.25*C64,8.75*C64),-1)),"FALSE")</f>
        <v>900</v>
      </c>
      <c r="H64" s="11">
        <v>500</v>
      </c>
      <c r="I64" s="8">
        <v>175</v>
      </c>
      <c r="J64" s="8">
        <v>175</v>
      </c>
      <c r="K64" s="8">
        <f>CEILING(MAX(C64*13,),5)</f>
        <v>130</v>
      </c>
      <c r="L64" s="12"/>
      <c r="M64" s="8"/>
      <c r="N64" s="8"/>
      <c r="O64" s="8"/>
      <c r="P64" s="8"/>
      <c r="Q64" s="8"/>
      <c r="R64" s="8"/>
      <c r="S64" s="59"/>
      <c r="T64" s="34">
        <f>IF(C64="","",ROUND(CHOOSE(MATCH(C64,{5,6,7,8,10,12,14,16,18,20,22,25,28,32,40},0),0.154,0.222,0.302,0.395,0.617,0.888,1.209,1.579,1.998,2.467,2.985,3.855,4.836,6.316,9.868)*D64*E64*G64/1000,3))</f>
        <v>29.986000000000001</v>
      </c>
      <c r="V64" s="39"/>
      <c r="W64" s="40"/>
      <c r="X64" s="40"/>
      <c r="Y64" s="40"/>
      <c r="Z64" s="40"/>
      <c r="AA64" s="40"/>
      <c r="AB64" s="40"/>
      <c r="AC64" s="40"/>
      <c r="AD64" s="40"/>
    </row>
    <row r="65" spans="1:30" ht="26.25" customHeight="1" x14ac:dyDescent="0.2">
      <c r="A65" s="6">
        <v>1002</v>
      </c>
      <c r="B65" s="6" t="s">
        <v>55</v>
      </c>
      <c r="C65" s="7">
        <v>10</v>
      </c>
      <c r="D65" s="8">
        <v>2</v>
      </c>
      <c r="E65" s="8">
        <v>15</v>
      </c>
      <c r="F65" s="9">
        <f t="shared" ref="F65" si="19">D65*E65</f>
        <v>30</v>
      </c>
      <c r="G65" s="10">
        <f>IF(H65=500,IF(ISERROR(0/C65/D65/E65/I65/J65/K65),"VOID",ROUND(2*(I65+J65+K65)-IF(C65&lt;20,6.25*C65,8.75*C65),-1)),"FALSE")</f>
        <v>900</v>
      </c>
      <c r="H65" s="11">
        <v>500</v>
      </c>
      <c r="I65" s="8">
        <v>175</v>
      </c>
      <c r="J65" s="8">
        <v>175</v>
      </c>
      <c r="K65" s="8">
        <f>CEILING(MAX(C65*13,),5)</f>
        <v>130</v>
      </c>
      <c r="L65" s="12"/>
      <c r="M65" s="8"/>
      <c r="N65" s="8"/>
      <c r="O65" s="8"/>
      <c r="P65" s="8"/>
      <c r="Q65" s="8"/>
      <c r="R65" s="8"/>
      <c r="S65" s="59"/>
      <c r="T65" s="34">
        <f>IF(C65="","",ROUND(CHOOSE(MATCH(C65,{5,6,7,8,10,12,14,16,18,20,22,25,28,32,40},0),0.154,0.222,0.302,0.395,0.617,0.888,1.209,1.579,1.998,2.467,2.985,3.855,4.836,6.316,9.868)*D65*E65*G65/1000,3))</f>
        <v>16.658999999999999</v>
      </c>
      <c r="V65" s="39"/>
      <c r="W65" s="40"/>
      <c r="X65" s="40"/>
      <c r="Y65" s="40"/>
      <c r="Z65" s="40"/>
      <c r="AA65" s="40"/>
      <c r="AB65" s="40"/>
      <c r="AC65" s="40"/>
      <c r="AD65" s="40"/>
    </row>
    <row r="66" spans="1:30" ht="26.25" customHeight="1" x14ac:dyDescent="0.2">
      <c r="A66" s="6">
        <v>1606</v>
      </c>
      <c r="B66" s="6" t="s">
        <v>56</v>
      </c>
      <c r="C66" s="7">
        <v>16</v>
      </c>
      <c r="D66" s="8">
        <v>2</v>
      </c>
      <c r="E66" s="8">
        <v>6</v>
      </c>
      <c r="F66" s="9">
        <f t="shared" si="18"/>
        <v>12</v>
      </c>
      <c r="G66" s="10">
        <f>IF(H66=222,IF(ISERROR(0/C66/D66/E66/I66/J66/K66),"VOID",ROUND(I66+J66+K66,-1)),"FALSE")</f>
        <v>1750</v>
      </c>
      <c r="H66" s="11">
        <v>222</v>
      </c>
      <c r="I66" s="8">
        <v>1000</v>
      </c>
      <c r="J66" s="8">
        <v>300</v>
      </c>
      <c r="K66" s="8">
        <v>450</v>
      </c>
      <c r="L66" s="38">
        <v>50</v>
      </c>
      <c r="M66" s="8"/>
      <c r="N66" s="37"/>
      <c r="O66" s="8"/>
      <c r="P66" s="8"/>
      <c r="Q66" s="8"/>
      <c r="R66" s="8"/>
      <c r="S66" s="33"/>
      <c r="T66" s="34">
        <f>IF(C66="","",ROUND(CHOOSE(MATCH(C66,{5,6,7,8,10,12,14,16,18,20,22,25,28,32,40},0),0.154,0.222,0.302,0.395,0.617,0.888,1.209,1.579,1.998,2.467,2.985,3.855,4.836,6.316,9.868)*D66*E66*G66/1000,3))</f>
        <v>33.158999999999999</v>
      </c>
      <c r="V66" s="39"/>
      <c r="W66" s="40"/>
      <c r="X66" s="40"/>
      <c r="Y66" s="40"/>
      <c r="Z66" s="40"/>
      <c r="AA66" s="40"/>
      <c r="AB66" s="40"/>
      <c r="AC66" s="40"/>
      <c r="AD66" s="40"/>
    </row>
    <row r="67" spans="1:30" ht="26.25" customHeight="1" x14ac:dyDescent="0.2">
      <c r="A67" s="6">
        <v>1608</v>
      </c>
      <c r="B67" s="6" t="s">
        <v>56</v>
      </c>
      <c r="C67" s="7">
        <v>16</v>
      </c>
      <c r="D67" s="8">
        <v>2</v>
      </c>
      <c r="E67" s="8">
        <v>10</v>
      </c>
      <c r="F67" s="9">
        <f t="shared" si="18"/>
        <v>20</v>
      </c>
      <c r="G67" s="10">
        <f>IF(H67=310,IF(ISERROR(0/C67/D67/E67/I67/J67/K67/M67),"VOID",ROUND(I67+J67+K67+M67-IF(C67&lt;20,1.25*C67,1.75*C67),-1)),"FALSE")</f>
        <v>4910</v>
      </c>
      <c r="H67" s="11">
        <v>310</v>
      </c>
      <c r="I67" s="8">
        <v>3375</v>
      </c>
      <c r="J67" s="8">
        <v>300</v>
      </c>
      <c r="K67" s="8">
        <v>1200</v>
      </c>
      <c r="L67" s="12">
        <v>50</v>
      </c>
      <c r="M67" s="51">
        <v>50</v>
      </c>
      <c r="N67" s="8"/>
      <c r="O67" s="8"/>
      <c r="P67" s="8"/>
      <c r="Q67" s="8"/>
      <c r="R67" s="8"/>
      <c r="S67" s="33"/>
      <c r="T67" s="34">
        <f>IF(C67="","",ROUND(CHOOSE(MATCH(C67,{5,6,7,8,10,12,14,16,18,20,22,25,28,32,40},0),0.154,0.222,0.302,0.395,0.617,0.888,1.209,1.579,1.998,2.467,2.985,3.855,4.836,6.316,9.868)*D67*E67*G67/1000,3))</f>
        <v>155.05799999999999</v>
      </c>
      <c r="V67" s="39"/>
      <c r="W67" s="40"/>
      <c r="X67" s="40"/>
      <c r="Y67" s="40"/>
      <c r="Z67" s="40"/>
      <c r="AA67" s="40"/>
      <c r="AB67" s="40"/>
      <c r="AC67" s="40"/>
      <c r="AD67" s="40"/>
    </row>
    <row r="68" spans="1:30" ht="26.25" customHeight="1" x14ac:dyDescent="0.2">
      <c r="A68" s="6">
        <v>1610</v>
      </c>
      <c r="B68" s="6" t="s">
        <v>56</v>
      </c>
      <c r="C68" s="7">
        <v>16</v>
      </c>
      <c r="D68" s="8">
        <v>2</v>
      </c>
      <c r="E68" s="8">
        <v>4</v>
      </c>
      <c r="F68" s="9">
        <f t="shared" si="18"/>
        <v>8</v>
      </c>
      <c r="G68" s="10">
        <f>IF(H68=310,IF(ISERROR(0/C68/D68/E68/I68/J68/K68/M68),"VOID",ROUND(I68+J68+K68+M68-IF(C68&lt;20,1.25*C68,1.75*C68),-1)),"FALSE")</f>
        <v>4080</v>
      </c>
      <c r="H68" s="11">
        <v>310</v>
      </c>
      <c r="I68" s="8">
        <v>3375</v>
      </c>
      <c r="J68" s="8">
        <v>300</v>
      </c>
      <c r="K68" s="8">
        <v>375</v>
      </c>
      <c r="L68" s="12">
        <v>50</v>
      </c>
      <c r="M68" s="8">
        <v>50</v>
      </c>
      <c r="N68" s="8"/>
      <c r="O68" s="8"/>
      <c r="P68" s="8"/>
      <c r="Q68" s="8"/>
      <c r="R68" s="8"/>
      <c r="S68" s="33"/>
      <c r="T68" s="34">
        <f>IF(C68="","",ROUND(CHOOSE(MATCH(C68,{5,6,7,8,10,12,14,16,18,20,22,25,28,32,40},0),0.154,0.222,0.302,0.395,0.617,0.888,1.209,1.579,1.998,2.467,2.985,3.855,4.836,6.316,9.868)*D68*E68*G68/1000,3))</f>
        <v>51.539000000000001</v>
      </c>
      <c r="V68" s="39"/>
      <c r="W68" s="40"/>
      <c r="X68" s="40"/>
      <c r="Y68" s="40"/>
      <c r="Z68" s="40"/>
      <c r="AA68" s="40"/>
      <c r="AB68" s="40"/>
      <c r="AC68" s="40"/>
      <c r="AD68" s="40"/>
    </row>
    <row r="69" spans="1:30" ht="26.25" customHeight="1" x14ac:dyDescent="0.2">
      <c r="A69" s="6">
        <v>1001</v>
      </c>
      <c r="B69" s="6" t="s">
        <v>56</v>
      </c>
      <c r="C69" s="7">
        <v>10</v>
      </c>
      <c r="D69" s="8">
        <v>2</v>
      </c>
      <c r="E69" s="8">
        <v>21</v>
      </c>
      <c r="F69" s="9">
        <f t="shared" si="18"/>
        <v>42</v>
      </c>
      <c r="G69" s="10">
        <f>IF(H69=500,IF(ISERROR(0/C69/D69/E69/I69/J69/K69),"VOID",ROUND(2*(I69+J69+K69)-IF(C69&lt;20,6.25*C69,8.75*C69),-1)),"FALSE")</f>
        <v>900</v>
      </c>
      <c r="H69" s="11">
        <v>500</v>
      </c>
      <c r="I69" s="8">
        <v>175</v>
      </c>
      <c r="J69" s="8">
        <v>175</v>
      </c>
      <c r="K69" s="8">
        <f>CEILING(MAX(C69*13,),5)</f>
        <v>130</v>
      </c>
      <c r="L69" s="12"/>
      <c r="M69" s="8"/>
      <c r="N69" s="8"/>
      <c r="O69" s="8"/>
      <c r="P69" s="8"/>
      <c r="Q69" s="8"/>
      <c r="R69" s="8"/>
      <c r="S69" s="59"/>
      <c r="T69" s="34">
        <f>IF(C69="","",ROUND(CHOOSE(MATCH(C69,{5,6,7,8,10,12,14,16,18,20,22,25,28,32,40},0),0.154,0.222,0.302,0.395,0.617,0.888,1.209,1.579,1.998,2.467,2.985,3.855,4.836,6.316,9.868)*D69*E69*G69/1000,3))</f>
        <v>23.323</v>
      </c>
      <c r="V69" s="39"/>
      <c r="W69" s="40"/>
      <c r="X69" s="40"/>
      <c r="Y69" s="40"/>
      <c r="Z69" s="40"/>
      <c r="AA69" s="40"/>
      <c r="AB69" s="40"/>
      <c r="AC69" s="40"/>
      <c r="AD69" s="40"/>
    </row>
    <row r="70" spans="1:30" ht="26.25" customHeight="1" x14ac:dyDescent="0.2">
      <c r="A70" s="6">
        <v>1002</v>
      </c>
      <c r="B70" s="6" t="s">
        <v>56</v>
      </c>
      <c r="C70" s="7">
        <v>10</v>
      </c>
      <c r="D70" s="8">
        <v>2</v>
      </c>
      <c r="E70" s="8">
        <v>15</v>
      </c>
      <c r="F70" s="9">
        <f t="shared" ref="F70:F80" si="20">D70*E70</f>
        <v>30</v>
      </c>
      <c r="G70" s="10">
        <f>IF(H70=500,IF(ISERROR(0/C70/D70/E70/I70/J70/K70),"VOID",ROUND(2*(I70+J70+K70)-IF(C70&lt;20,6.25*C70,8.75*C70),-1)),"FALSE")</f>
        <v>900</v>
      </c>
      <c r="H70" s="11">
        <v>500</v>
      </c>
      <c r="I70" s="8">
        <v>175</v>
      </c>
      <c r="J70" s="8">
        <v>175</v>
      </c>
      <c r="K70" s="8">
        <f>CEILING(MAX(C70*13,),5)</f>
        <v>130</v>
      </c>
      <c r="L70" s="12"/>
      <c r="M70" s="8"/>
      <c r="N70" s="8"/>
      <c r="O70" s="8"/>
      <c r="P70" s="8"/>
      <c r="Q70" s="8"/>
      <c r="R70" s="8"/>
      <c r="S70" s="59"/>
      <c r="T70" s="34">
        <f>IF(C70="","",ROUND(CHOOSE(MATCH(C70,{5,6,7,8,10,12,14,16,18,20,22,25,28,32,40},0),0.154,0.222,0.302,0.395,0.617,0.888,1.209,1.579,1.998,2.467,2.985,3.855,4.836,6.316,9.868)*D70*E70*G70/1000,3))</f>
        <v>16.658999999999999</v>
      </c>
      <c r="V70" s="39"/>
      <c r="W70" s="40"/>
      <c r="X70" s="40"/>
      <c r="Y70" s="40"/>
      <c r="Z70" s="40"/>
      <c r="AA70" s="40"/>
      <c r="AB70" s="40"/>
      <c r="AC70" s="40"/>
      <c r="AD70" s="40"/>
    </row>
    <row r="71" spans="1:30" ht="26.25" customHeight="1" x14ac:dyDescent="0.2">
      <c r="A71" s="6">
        <v>1003</v>
      </c>
      <c r="B71" s="6" t="s">
        <v>56</v>
      </c>
      <c r="C71" s="7">
        <v>10</v>
      </c>
      <c r="D71" s="8">
        <v>2</v>
      </c>
      <c r="E71" s="8">
        <v>15</v>
      </c>
      <c r="F71" s="9">
        <f t="shared" si="20"/>
        <v>30</v>
      </c>
      <c r="G71" s="10">
        <f>IF(H71=500,IF(ISERROR(0/C71/D71/E71/I71/J71/K71),"VOID",ROUND(2*(I71+J71+K71)-IF(C71&lt;20,6.25*C71,8.75*C71),-1)),"FALSE")</f>
        <v>900</v>
      </c>
      <c r="H71" s="11">
        <v>500</v>
      </c>
      <c r="I71" s="8">
        <v>175</v>
      </c>
      <c r="J71" s="8">
        <v>175</v>
      </c>
      <c r="K71" s="8">
        <f>CEILING(MAX(C71*13,),5)</f>
        <v>130</v>
      </c>
      <c r="L71" s="12"/>
      <c r="M71" s="8"/>
      <c r="N71" s="8"/>
      <c r="O71" s="8"/>
      <c r="P71" s="8"/>
      <c r="Q71" s="8"/>
      <c r="R71" s="8"/>
      <c r="S71" s="59"/>
      <c r="T71" s="34">
        <f>IF(C71="","",ROUND(CHOOSE(MATCH(C71,{5,6,7,8,10,12,14,16,18,20,22,25,28,32,40},0),0.154,0.222,0.302,0.395,0.617,0.888,1.209,1.579,1.998,2.467,2.985,3.855,4.836,6.316,9.868)*D71*E71*G71/1000,3))</f>
        <v>16.658999999999999</v>
      </c>
      <c r="V71" s="39"/>
      <c r="W71" s="40"/>
      <c r="X71" s="40"/>
      <c r="Y71" s="40"/>
      <c r="Z71" s="40"/>
      <c r="AA71" s="40"/>
      <c r="AB71" s="40"/>
      <c r="AC71" s="40"/>
      <c r="AD71" s="40"/>
    </row>
    <row r="72" spans="1:30" ht="26.25" customHeight="1" x14ac:dyDescent="0.2">
      <c r="A72" s="6">
        <v>1606</v>
      </c>
      <c r="B72" s="6" t="s">
        <v>38</v>
      </c>
      <c r="C72" s="7">
        <v>16</v>
      </c>
      <c r="D72" s="8">
        <v>2</v>
      </c>
      <c r="E72" s="8">
        <v>4</v>
      </c>
      <c r="F72" s="9">
        <f t="shared" si="20"/>
        <v>8</v>
      </c>
      <c r="G72" s="10">
        <f>IF(H72=222,IF(ISERROR(0/C72/D72/E72/I72/J72/K72),"VOID",ROUND(I72+J72+K72,-1)),"FALSE")</f>
        <v>1750</v>
      </c>
      <c r="H72" s="11">
        <v>222</v>
      </c>
      <c r="I72" s="8">
        <v>1000</v>
      </c>
      <c r="J72" s="8">
        <v>300</v>
      </c>
      <c r="K72" s="8">
        <v>450</v>
      </c>
      <c r="L72" s="38">
        <v>50</v>
      </c>
      <c r="M72" s="8"/>
      <c r="N72" s="37"/>
      <c r="O72" s="8"/>
      <c r="P72" s="8"/>
      <c r="Q72" s="8"/>
      <c r="R72" s="8"/>
      <c r="S72" s="33"/>
      <c r="T72" s="34">
        <f>IF(C72="","",ROUND(CHOOSE(MATCH(C72,{5,6,7,8,10,12,14,16,18,20,22,25,28,32,40},0),0.154,0.222,0.302,0.395,0.617,0.888,1.209,1.579,1.998,2.467,2.985,3.855,4.836,6.316,9.868)*D72*E72*G72/1000,3))</f>
        <v>22.106000000000002</v>
      </c>
      <c r="V72" s="39"/>
      <c r="W72" s="40"/>
      <c r="X72" s="40"/>
      <c r="Y72" s="40"/>
      <c r="Z72" s="40"/>
      <c r="AA72" s="40"/>
      <c r="AB72" s="40"/>
      <c r="AC72" s="40"/>
      <c r="AD72" s="40"/>
    </row>
    <row r="73" spans="1:30" ht="26.25" customHeight="1" x14ac:dyDescent="0.2">
      <c r="A73" s="6">
        <v>1608</v>
      </c>
      <c r="B73" s="6" t="s">
        <v>38</v>
      </c>
      <c r="C73" s="7">
        <v>16</v>
      </c>
      <c r="D73" s="8">
        <v>2</v>
      </c>
      <c r="E73" s="8">
        <v>8</v>
      </c>
      <c r="F73" s="9">
        <f t="shared" si="20"/>
        <v>16</v>
      </c>
      <c r="G73" s="10">
        <f>IF(H73=310,IF(ISERROR(0/C73/D73/E73/I73/J73/K73/M73),"VOID",ROUND(I73+J73+K73+M73-IF(C73&lt;20,1.25*C73,1.75*C73),-1)),"FALSE")</f>
        <v>4910</v>
      </c>
      <c r="H73" s="11">
        <v>310</v>
      </c>
      <c r="I73" s="8">
        <v>3375</v>
      </c>
      <c r="J73" s="8">
        <v>300</v>
      </c>
      <c r="K73" s="8">
        <v>1200</v>
      </c>
      <c r="L73" s="12">
        <v>50</v>
      </c>
      <c r="M73" s="8">
        <v>50</v>
      </c>
      <c r="N73" s="8"/>
      <c r="O73" s="8"/>
      <c r="P73" s="8"/>
      <c r="Q73" s="8"/>
      <c r="R73" s="8"/>
      <c r="S73" s="33"/>
      <c r="T73" s="34">
        <f>IF(C73="","",ROUND(CHOOSE(MATCH(C73,{5,6,7,8,10,12,14,16,18,20,22,25,28,32,40},0),0.154,0.222,0.302,0.395,0.617,0.888,1.209,1.579,1.998,2.467,2.985,3.855,4.836,6.316,9.868)*D73*E73*G73/1000,3))</f>
        <v>124.04600000000001</v>
      </c>
      <c r="V73" s="39"/>
      <c r="W73" s="40"/>
      <c r="X73" s="40"/>
      <c r="Y73" s="40"/>
      <c r="Z73" s="40"/>
      <c r="AA73" s="40"/>
      <c r="AB73" s="40"/>
      <c r="AC73" s="40"/>
      <c r="AD73" s="40"/>
    </row>
    <row r="74" spans="1:30" ht="26.25" customHeight="1" x14ac:dyDescent="0.2">
      <c r="A74" s="6">
        <v>1610</v>
      </c>
      <c r="B74" s="6" t="s">
        <v>38</v>
      </c>
      <c r="C74" s="7">
        <v>16</v>
      </c>
      <c r="D74" s="8">
        <v>2</v>
      </c>
      <c r="E74" s="8">
        <v>4</v>
      </c>
      <c r="F74" s="9">
        <f t="shared" si="20"/>
        <v>8</v>
      </c>
      <c r="G74" s="10">
        <f>IF(H74=310,IF(ISERROR(0/C74/D74/E74/I74/J74/K74/M74),"VOID",ROUND(I74+J74+K74+M74-IF(C74&lt;20,1.25*C74,1.75*C74),-1)),"FALSE")</f>
        <v>4080</v>
      </c>
      <c r="H74" s="11">
        <v>310</v>
      </c>
      <c r="I74" s="8">
        <v>3375</v>
      </c>
      <c r="J74" s="8">
        <v>300</v>
      </c>
      <c r="K74" s="8">
        <v>375</v>
      </c>
      <c r="L74" s="12">
        <v>50</v>
      </c>
      <c r="M74" s="8">
        <v>50</v>
      </c>
      <c r="N74" s="8"/>
      <c r="O74" s="8"/>
      <c r="P74" s="8"/>
      <c r="Q74" s="8"/>
      <c r="R74" s="8"/>
      <c r="S74" s="33"/>
      <c r="T74" s="34">
        <f>IF(C74="","",ROUND(CHOOSE(MATCH(C74,{5,6,7,8,10,12,14,16,18,20,22,25,28,32,40},0),0.154,0.222,0.302,0.395,0.617,0.888,1.209,1.579,1.998,2.467,2.985,3.855,4.836,6.316,9.868)*D74*E74*G74/1000,3))</f>
        <v>51.539000000000001</v>
      </c>
      <c r="V74" s="39"/>
      <c r="W74" s="40"/>
      <c r="X74" s="40"/>
      <c r="Y74" s="40"/>
      <c r="Z74" s="40"/>
      <c r="AA74" s="40"/>
      <c r="AB74" s="40"/>
      <c r="AC74" s="40"/>
      <c r="AD74" s="40"/>
    </row>
    <row r="75" spans="1:30" ht="26.25" customHeight="1" x14ac:dyDescent="0.2">
      <c r="A75" s="6">
        <v>1001</v>
      </c>
      <c r="B75" s="6" t="s">
        <v>38</v>
      </c>
      <c r="C75" s="7">
        <v>10</v>
      </c>
      <c r="D75" s="8">
        <v>2</v>
      </c>
      <c r="E75" s="8">
        <v>52</v>
      </c>
      <c r="F75" s="9">
        <f t="shared" si="20"/>
        <v>104</v>
      </c>
      <c r="G75" s="10">
        <f>IF(H75=500,IF(ISERROR(0/C75/D75/E75/I75/J75/K75),"VOID",ROUND(2*(I75+J75+K75)-IF(C75&lt;20,6.25*C75,8.75*C75),-1)),"FALSE")</f>
        <v>900</v>
      </c>
      <c r="H75" s="11">
        <v>500</v>
      </c>
      <c r="I75" s="8">
        <v>175</v>
      </c>
      <c r="J75" s="8">
        <v>175</v>
      </c>
      <c r="K75" s="8">
        <f>CEILING(MAX(C75*13,),5)</f>
        <v>130</v>
      </c>
      <c r="L75" s="12"/>
      <c r="M75" s="8"/>
      <c r="N75" s="8"/>
      <c r="O75" s="8"/>
      <c r="P75" s="8"/>
      <c r="Q75" s="8"/>
      <c r="R75" s="8"/>
      <c r="S75" s="59"/>
      <c r="T75" s="34">
        <f>IF(C75="","",ROUND(CHOOSE(MATCH(C75,{5,6,7,8,10,12,14,16,18,20,22,25,28,32,40},0),0.154,0.222,0.302,0.395,0.617,0.888,1.209,1.579,1.998,2.467,2.985,3.855,4.836,6.316,9.868)*D75*E75*G75/1000,3))</f>
        <v>57.750999999999998</v>
      </c>
      <c r="V75" s="39"/>
      <c r="W75" s="40"/>
      <c r="X75" s="40"/>
      <c r="Y75" s="40"/>
      <c r="Z75" s="40"/>
      <c r="AA75" s="40"/>
      <c r="AB75" s="40"/>
      <c r="AC75" s="40"/>
      <c r="AD75" s="40"/>
    </row>
    <row r="76" spans="1:30" ht="26.25" customHeight="1" x14ac:dyDescent="0.2">
      <c r="A76" s="6">
        <v>1606</v>
      </c>
      <c r="B76" s="6" t="s">
        <v>57</v>
      </c>
      <c r="C76" s="7">
        <v>16</v>
      </c>
      <c r="D76" s="8">
        <v>2</v>
      </c>
      <c r="E76" s="8">
        <v>4</v>
      </c>
      <c r="F76" s="9">
        <f t="shared" si="20"/>
        <v>8</v>
      </c>
      <c r="G76" s="10">
        <f>IF(H76=222,IF(ISERROR(0/C76/D76/E76/I76/J76/K76),"VOID",ROUND(I76+J76+K76,-1)),"FALSE")</f>
        <v>1750</v>
      </c>
      <c r="H76" s="11">
        <v>222</v>
      </c>
      <c r="I76" s="8">
        <v>1000</v>
      </c>
      <c r="J76" s="8">
        <v>300</v>
      </c>
      <c r="K76" s="8">
        <v>450</v>
      </c>
      <c r="L76" s="38">
        <v>50</v>
      </c>
      <c r="M76" s="8"/>
      <c r="N76" s="37"/>
      <c r="O76" s="8"/>
      <c r="P76" s="8"/>
      <c r="Q76" s="8"/>
      <c r="R76" s="8"/>
      <c r="S76" s="33"/>
      <c r="T76" s="34">
        <f>IF(C76="","",ROUND(CHOOSE(MATCH(C76,{5,6,7,8,10,12,14,16,18,20,22,25,28,32,40},0),0.154,0.222,0.302,0.395,0.617,0.888,1.209,1.579,1.998,2.467,2.985,3.855,4.836,6.316,9.868)*D76*E76*G76/1000,3))</f>
        <v>22.106000000000002</v>
      </c>
      <c r="V76" s="39"/>
      <c r="W76" s="40"/>
      <c r="X76" s="40"/>
      <c r="Y76" s="40"/>
      <c r="Z76" s="40"/>
      <c r="AA76" s="40"/>
      <c r="AB76" s="40"/>
      <c r="AC76" s="40"/>
      <c r="AD76" s="40"/>
    </row>
    <row r="77" spans="1:30" ht="26.25" customHeight="1" x14ac:dyDescent="0.2">
      <c r="A77" s="6">
        <v>1608</v>
      </c>
      <c r="B77" s="6" t="s">
        <v>57</v>
      </c>
      <c r="C77" s="7">
        <v>16</v>
      </c>
      <c r="D77" s="8">
        <v>2</v>
      </c>
      <c r="E77" s="8">
        <v>8</v>
      </c>
      <c r="F77" s="9">
        <f t="shared" si="20"/>
        <v>16</v>
      </c>
      <c r="G77" s="10">
        <f>IF(H77=310,IF(ISERROR(0/C77/D77/E77/I77/J77/K77/M77),"VOID",ROUND(I77+J77+K77+M77-IF(C77&lt;20,1.25*C77,1.75*C77),-1)),"FALSE")</f>
        <v>4910</v>
      </c>
      <c r="H77" s="11">
        <v>310</v>
      </c>
      <c r="I77" s="8">
        <v>3375</v>
      </c>
      <c r="J77" s="8">
        <v>300</v>
      </c>
      <c r="K77" s="8">
        <v>1200</v>
      </c>
      <c r="L77" s="12">
        <v>50</v>
      </c>
      <c r="M77" s="8">
        <v>50</v>
      </c>
      <c r="N77" s="8"/>
      <c r="O77" s="8"/>
      <c r="P77" s="8"/>
      <c r="Q77" s="8"/>
      <c r="R77" s="8"/>
      <c r="S77" s="33"/>
      <c r="T77" s="34">
        <f>IF(C77="","",ROUND(CHOOSE(MATCH(C77,{5,6,7,8,10,12,14,16,18,20,22,25,28,32,40},0),0.154,0.222,0.302,0.395,0.617,0.888,1.209,1.579,1.998,2.467,2.985,3.855,4.836,6.316,9.868)*D77*E77*G77/1000,3))</f>
        <v>124.04600000000001</v>
      </c>
      <c r="V77" s="39"/>
      <c r="W77" s="40"/>
      <c r="X77" s="40"/>
      <c r="Y77" s="40"/>
      <c r="Z77" s="40"/>
      <c r="AA77" s="40"/>
      <c r="AB77" s="40"/>
      <c r="AC77" s="40"/>
      <c r="AD77" s="40"/>
    </row>
    <row r="78" spans="1:30" ht="26.25" customHeight="1" x14ac:dyDescent="0.2">
      <c r="A78" s="6">
        <v>1610</v>
      </c>
      <c r="B78" s="6" t="s">
        <v>57</v>
      </c>
      <c r="C78" s="7">
        <v>16</v>
      </c>
      <c r="D78" s="8">
        <v>2</v>
      </c>
      <c r="E78" s="8">
        <v>4</v>
      </c>
      <c r="F78" s="9">
        <f t="shared" si="20"/>
        <v>8</v>
      </c>
      <c r="G78" s="10">
        <f>IF(H78=310,IF(ISERROR(0/C78/D78/E78/I78/J78/K78/M78),"VOID",ROUND(I78+J78+K78+M78-IF(C78&lt;20,1.25*C78,1.75*C78),-1)),"FALSE")</f>
        <v>4080</v>
      </c>
      <c r="H78" s="11">
        <v>310</v>
      </c>
      <c r="I78" s="8">
        <v>3375</v>
      </c>
      <c r="J78" s="8">
        <v>300</v>
      </c>
      <c r="K78" s="8">
        <v>375</v>
      </c>
      <c r="L78" s="12">
        <v>50</v>
      </c>
      <c r="M78" s="8">
        <v>50</v>
      </c>
      <c r="N78" s="8"/>
      <c r="O78" s="8"/>
      <c r="P78" s="8"/>
      <c r="Q78" s="8"/>
      <c r="R78" s="8"/>
      <c r="S78" s="33"/>
      <c r="T78" s="34">
        <f>IF(C78="","",ROUND(CHOOSE(MATCH(C78,{5,6,7,8,10,12,14,16,18,20,22,25,28,32,40},0),0.154,0.222,0.302,0.395,0.617,0.888,1.209,1.579,1.998,2.467,2.985,3.855,4.836,6.316,9.868)*D78*E78*G78/1000,3))</f>
        <v>51.539000000000001</v>
      </c>
      <c r="V78" s="39"/>
      <c r="W78" s="40"/>
      <c r="X78" s="40"/>
      <c r="Y78" s="40"/>
      <c r="Z78" s="40"/>
      <c r="AA78" s="40"/>
      <c r="AB78" s="40"/>
      <c r="AC78" s="40"/>
      <c r="AD78" s="40"/>
    </row>
    <row r="79" spans="1:30" ht="26.25" customHeight="1" x14ac:dyDescent="0.2">
      <c r="A79" s="6">
        <v>1001</v>
      </c>
      <c r="B79" s="6" t="s">
        <v>57</v>
      </c>
      <c r="C79" s="7">
        <v>10</v>
      </c>
      <c r="D79" s="8">
        <v>2</v>
      </c>
      <c r="E79" s="8">
        <v>37</v>
      </c>
      <c r="F79" s="9">
        <f t="shared" si="20"/>
        <v>74</v>
      </c>
      <c r="G79" s="10">
        <f>IF(H79=500,IF(ISERROR(0/C79/D79/E79/I79/J79/K79),"VOID",ROUND(2*(I79+J79+K79)-IF(C79&lt;20,6.25*C79,8.75*C79),-1)),"FALSE")</f>
        <v>900</v>
      </c>
      <c r="H79" s="11">
        <v>500</v>
      </c>
      <c r="I79" s="8">
        <v>175</v>
      </c>
      <c r="J79" s="8">
        <v>175</v>
      </c>
      <c r="K79" s="8">
        <f>CEILING(MAX(C79*13,),5)</f>
        <v>130</v>
      </c>
      <c r="L79" s="12"/>
      <c r="M79" s="8"/>
      <c r="N79" s="8"/>
      <c r="O79" s="8"/>
      <c r="P79" s="8"/>
      <c r="Q79" s="8"/>
      <c r="R79" s="8"/>
      <c r="S79" s="59"/>
      <c r="T79" s="34">
        <f>IF(C79="","",ROUND(CHOOSE(MATCH(C79,{5,6,7,8,10,12,14,16,18,20,22,25,28,32,40},0),0.154,0.222,0.302,0.395,0.617,0.888,1.209,1.579,1.998,2.467,2.985,3.855,4.836,6.316,9.868)*D79*E79*G79/1000,3))</f>
        <v>41.091999999999999</v>
      </c>
      <c r="V79" s="39"/>
      <c r="W79" s="40"/>
      <c r="X79" s="40"/>
      <c r="Y79" s="40"/>
      <c r="Z79" s="40"/>
      <c r="AA79" s="40"/>
      <c r="AB79" s="40"/>
      <c r="AC79" s="40"/>
      <c r="AD79" s="40"/>
    </row>
    <row r="80" spans="1:30" ht="26.25" customHeight="1" x14ac:dyDescent="0.2">
      <c r="A80" s="6">
        <v>1002</v>
      </c>
      <c r="B80" s="6" t="s">
        <v>57</v>
      </c>
      <c r="C80" s="7">
        <v>10</v>
      </c>
      <c r="D80" s="8">
        <v>2</v>
      </c>
      <c r="E80" s="8">
        <v>15</v>
      </c>
      <c r="F80" s="9">
        <f t="shared" si="20"/>
        <v>30</v>
      </c>
      <c r="G80" s="10">
        <f>IF(H80=500,IF(ISERROR(0/C80/D80/E80/I80/J80/K80),"VOID",ROUND(2*(I80+J80+K80)-IF(C80&lt;20,6.25*C80,8.75*C80),-1)),"FALSE")</f>
        <v>900</v>
      </c>
      <c r="H80" s="11">
        <v>500</v>
      </c>
      <c r="I80" s="8">
        <v>175</v>
      </c>
      <c r="J80" s="8">
        <v>175</v>
      </c>
      <c r="K80" s="8">
        <f>CEILING(MAX(C80*13,),5)</f>
        <v>130</v>
      </c>
      <c r="L80" s="12"/>
      <c r="M80" s="8"/>
      <c r="N80" s="8"/>
      <c r="O80" s="8"/>
      <c r="P80" s="8"/>
      <c r="Q80" s="8"/>
      <c r="R80" s="8"/>
      <c r="S80" s="59"/>
      <c r="T80" s="34">
        <f>IF(C80="","",ROUND(CHOOSE(MATCH(C80,{5,6,7,8,10,12,14,16,18,20,22,25,28,32,40},0),0.154,0.222,0.302,0.395,0.617,0.888,1.209,1.579,1.998,2.467,2.985,3.855,4.836,6.316,9.868)*D80*E80*G80/1000,3))</f>
        <v>16.658999999999999</v>
      </c>
      <c r="V80" s="39"/>
      <c r="W80" s="40"/>
      <c r="X80" s="40"/>
      <c r="Y80" s="40"/>
      <c r="Z80" s="40"/>
      <c r="AA80" s="40"/>
      <c r="AB80" s="40"/>
      <c r="AC80" s="40"/>
      <c r="AD80" s="40"/>
    </row>
    <row r="81" spans="1:30" ht="26.25" customHeight="1" x14ac:dyDescent="0.2">
      <c r="A81" s="6">
        <v>1606</v>
      </c>
      <c r="B81" s="6" t="s">
        <v>58</v>
      </c>
      <c r="C81" s="7">
        <v>16</v>
      </c>
      <c r="D81" s="8">
        <v>2</v>
      </c>
      <c r="E81" s="8">
        <v>4</v>
      </c>
      <c r="F81" s="9">
        <f t="shared" ref="F81:F84" si="21">D81*E81</f>
        <v>8</v>
      </c>
      <c r="G81" s="10">
        <f>IF(H81=222,IF(ISERROR(0/C81/D81/E81/I81/J81/K81),"VOID",ROUND(I81+J81+K81,-1)),"FALSE")</f>
        <v>1750</v>
      </c>
      <c r="H81" s="11">
        <v>222</v>
      </c>
      <c r="I81" s="8">
        <v>1000</v>
      </c>
      <c r="J81" s="8">
        <v>300</v>
      </c>
      <c r="K81" s="8">
        <v>450</v>
      </c>
      <c r="L81" s="38">
        <v>50</v>
      </c>
      <c r="M81" s="8"/>
      <c r="N81" s="37"/>
      <c r="O81" s="8"/>
      <c r="P81" s="8"/>
      <c r="Q81" s="8"/>
      <c r="R81" s="8"/>
      <c r="S81" s="33"/>
      <c r="T81" s="34">
        <f>IF(C81="","",ROUND(CHOOSE(MATCH(C81,{5,6,7,8,10,12,14,16,18,20,22,25,28,32,40},0),0.154,0.222,0.302,0.395,0.617,0.888,1.209,1.579,1.998,2.467,2.985,3.855,4.836,6.316,9.868)*D81*E81*G81/1000,3))</f>
        <v>22.106000000000002</v>
      </c>
      <c r="V81" s="39"/>
      <c r="W81" s="40"/>
      <c r="X81" s="40"/>
      <c r="Y81" s="40"/>
      <c r="Z81" s="40"/>
      <c r="AA81" s="40"/>
      <c r="AB81" s="40"/>
      <c r="AC81" s="40"/>
      <c r="AD81" s="40"/>
    </row>
    <row r="82" spans="1:30" ht="26.25" customHeight="1" x14ac:dyDescent="0.2">
      <c r="A82" s="6">
        <v>1608</v>
      </c>
      <c r="B82" s="6" t="s">
        <v>58</v>
      </c>
      <c r="C82" s="7">
        <v>16</v>
      </c>
      <c r="D82" s="8">
        <v>2</v>
      </c>
      <c r="E82" s="8">
        <v>8</v>
      </c>
      <c r="F82" s="9">
        <f t="shared" si="21"/>
        <v>16</v>
      </c>
      <c r="G82" s="10">
        <f>IF(H82=310,IF(ISERROR(0/C82/D82/E82/I82/J82/K82/M82),"VOID",ROUND(I82+J82+K82+M82-IF(C82&lt;20,1.25*C82,1.75*C82),-1)),"FALSE")</f>
        <v>4910</v>
      </c>
      <c r="H82" s="11">
        <v>310</v>
      </c>
      <c r="I82" s="8">
        <v>3375</v>
      </c>
      <c r="J82" s="8">
        <v>300</v>
      </c>
      <c r="K82" s="8">
        <v>1200</v>
      </c>
      <c r="L82" s="12">
        <v>50</v>
      </c>
      <c r="M82" s="8">
        <v>50</v>
      </c>
      <c r="N82" s="8"/>
      <c r="O82" s="8"/>
      <c r="P82" s="8"/>
      <c r="Q82" s="8"/>
      <c r="R82" s="8"/>
      <c r="S82" s="33"/>
      <c r="T82" s="34">
        <f>IF(C82="","",ROUND(CHOOSE(MATCH(C82,{5,6,7,8,10,12,14,16,18,20,22,25,28,32,40},0),0.154,0.222,0.302,0.395,0.617,0.888,1.209,1.579,1.998,2.467,2.985,3.855,4.836,6.316,9.868)*D82*E82*G82/1000,3))</f>
        <v>124.04600000000001</v>
      </c>
      <c r="V82" s="39"/>
      <c r="W82" s="40"/>
      <c r="X82" s="40"/>
      <c r="Y82" s="40"/>
      <c r="Z82" s="40"/>
      <c r="AA82" s="40"/>
      <c r="AB82" s="40"/>
      <c r="AC82" s="40"/>
      <c r="AD82" s="40"/>
    </row>
    <row r="83" spans="1:30" ht="26.25" customHeight="1" x14ac:dyDescent="0.2">
      <c r="A83" s="6">
        <v>1610</v>
      </c>
      <c r="B83" s="6" t="s">
        <v>58</v>
      </c>
      <c r="C83" s="7">
        <v>16</v>
      </c>
      <c r="D83" s="8">
        <v>2</v>
      </c>
      <c r="E83" s="8">
        <v>4</v>
      </c>
      <c r="F83" s="9">
        <f t="shared" si="21"/>
        <v>8</v>
      </c>
      <c r="G83" s="10">
        <f>IF(H83=310,IF(ISERROR(0/C83/D83/E83/I83/J83/K83/M83),"VOID",ROUND(I83+J83+K83+M83-IF(C83&lt;20,1.25*C83,1.75*C83),-1)),"FALSE")</f>
        <v>4080</v>
      </c>
      <c r="H83" s="11">
        <v>310</v>
      </c>
      <c r="I83" s="8">
        <v>3375</v>
      </c>
      <c r="J83" s="8">
        <v>300</v>
      </c>
      <c r="K83" s="8">
        <v>375</v>
      </c>
      <c r="L83" s="12">
        <v>50</v>
      </c>
      <c r="M83" s="8">
        <v>50</v>
      </c>
      <c r="N83" s="8"/>
      <c r="O83" s="8"/>
      <c r="P83" s="8"/>
      <c r="Q83" s="8"/>
      <c r="R83" s="8"/>
      <c r="S83" s="33"/>
      <c r="T83" s="34">
        <f>IF(C83="","",ROUND(CHOOSE(MATCH(C83,{5,6,7,8,10,12,14,16,18,20,22,25,28,32,40},0),0.154,0.222,0.302,0.395,0.617,0.888,1.209,1.579,1.998,2.467,2.985,3.855,4.836,6.316,9.868)*D83*E83*G83/1000,3))</f>
        <v>51.539000000000001</v>
      </c>
      <c r="V83" s="39"/>
      <c r="W83" s="40"/>
      <c r="X83" s="40"/>
      <c r="Y83" s="40"/>
      <c r="Z83" s="40"/>
      <c r="AA83" s="40"/>
      <c r="AB83" s="40"/>
      <c r="AC83" s="40"/>
      <c r="AD83" s="40"/>
    </row>
    <row r="84" spans="1:30" ht="26.25" customHeight="1" x14ac:dyDescent="0.2">
      <c r="A84" s="6">
        <v>1001</v>
      </c>
      <c r="B84" s="6" t="s">
        <v>58</v>
      </c>
      <c r="C84" s="7">
        <v>10</v>
      </c>
      <c r="D84" s="8">
        <v>2</v>
      </c>
      <c r="E84" s="8">
        <v>35</v>
      </c>
      <c r="F84" s="9">
        <f t="shared" si="21"/>
        <v>70</v>
      </c>
      <c r="G84" s="10">
        <f>IF(H84=500,IF(ISERROR(0/C84/D84/E84/I84/J84/K84),"VOID",ROUND(2*(I84+J84+K84)-IF(C84&lt;20,6.25*C84,8.75*C84),-1)),"FALSE")</f>
        <v>900</v>
      </c>
      <c r="H84" s="11">
        <v>500</v>
      </c>
      <c r="I84" s="8">
        <v>175</v>
      </c>
      <c r="J84" s="8">
        <v>175</v>
      </c>
      <c r="K84" s="8">
        <f>CEILING(MAX(C84*13,),5)</f>
        <v>130</v>
      </c>
      <c r="L84" s="12"/>
      <c r="M84" s="8"/>
      <c r="N84" s="8"/>
      <c r="O84" s="8"/>
      <c r="P84" s="8"/>
      <c r="Q84" s="8"/>
      <c r="R84" s="8"/>
      <c r="S84" s="59"/>
      <c r="T84" s="34">
        <f>IF(C84="","",ROUND(CHOOSE(MATCH(C84,{5,6,7,8,10,12,14,16,18,20,22,25,28,32,40},0),0.154,0.222,0.302,0.395,0.617,0.888,1.209,1.579,1.998,2.467,2.985,3.855,4.836,6.316,9.868)*D84*E84*G84/1000,3))</f>
        <v>38.871000000000002</v>
      </c>
      <c r="V84" s="39"/>
      <c r="W84" s="40"/>
      <c r="X84" s="40"/>
      <c r="Y84" s="40"/>
      <c r="Z84" s="40"/>
      <c r="AA84" s="40"/>
      <c r="AB84" s="40"/>
      <c r="AC84" s="40"/>
      <c r="AD84" s="40"/>
    </row>
    <row r="85" spans="1:30" ht="26.25" customHeight="1" x14ac:dyDescent="0.2">
      <c r="A85" s="6">
        <v>1002</v>
      </c>
      <c r="B85" s="6" t="s">
        <v>58</v>
      </c>
      <c r="C85" s="7">
        <v>10</v>
      </c>
      <c r="D85" s="8">
        <v>2</v>
      </c>
      <c r="E85" s="8">
        <v>15</v>
      </c>
      <c r="F85" s="9">
        <f t="shared" ref="F85:F86" si="22">D85*E85</f>
        <v>30</v>
      </c>
      <c r="G85" s="10">
        <f>IF(H85=500,IF(ISERROR(0/C85/D85/E85/I85/J85/K85),"VOID",ROUND(2*(I85+J85+K85)-IF(C85&lt;20,6.25*C85,8.75*C85),-1)),"FALSE")</f>
        <v>900</v>
      </c>
      <c r="H85" s="11">
        <v>500</v>
      </c>
      <c r="I85" s="8">
        <v>175</v>
      </c>
      <c r="J85" s="8">
        <v>175</v>
      </c>
      <c r="K85" s="8">
        <f>CEILING(MAX(C85*13,),5)</f>
        <v>130</v>
      </c>
      <c r="L85" s="12"/>
      <c r="M85" s="8"/>
      <c r="N85" s="8"/>
      <c r="O85" s="8"/>
      <c r="P85" s="8"/>
      <c r="Q85" s="8"/>
      <c r="R85" s="8"/>
      <c r="S85" s="59"/>
      <c r="T85" s="34">
        <f>IF(C85="","",ROUND(CHOOSE(MATCH(C85,{5,6,7,8,10,12,14,16,18,20,22,25,28,32,40},0),0.154,0.222,0.302,0.395,0.617,0.888,1.209,1.579,1.998,2.467,2.985,3.855,4.836,6.316,9.868)*D85*E85*G85/1000,3))</f>
        <v>16.658999999999999</v>
      </c>
      <c r="V85" s="39"/>
      <c r="W85" s="40"/>
      <c r="X85" s="40"/>
      <c r="Y85" s="40"/>
      <c r="Z85" s="40"/>
      <c r="AA85" s="40"/>
      <c r="AB85" s="40"/>
      <c r="AC85" s="40"/>
      <c r="AD85" s="40"/>
    </row>
    <row r="86" spans="1:30" ht="26.25" customHeight="1" x14ac:dyDescent="0.2">
      <c r="A86" s="6">
        <v>1003</v>
      </c>
      <c r="B86" s="6" t="s">
        <v>58</v>
      </c>
      <c r="C86" s="7">
        <v>10</v>
      </c>
      <c r="D86" s="8">
        <v>2</v>
      </c>
      <c r="E86" s="8">
        <v>15</v>
      </c>
      <c r="F86" s="9">
        <f t="shared" si="22"/>
        <v>30</v>
      </c>
      <c r="G86" s="10">
        <f>IF(H86=500,IF(ISERROR(0/C86/D86/E86/I86/J86/K86),"VOID",ROUND(2*(I86+J86+K86)-IF(C86&lt;20,6.25*C86,8.75*C86),-1)),"FALSE")</f>
        <v>900</v>
      </c>
      <c r="H86" s="11">
        <v>500</v>
      </c>
      <c r="I86" s="8">
        <v>175</v>
      </c>
      <c r="J86" s="8">
        <v>175</v>
      </c>
      <c r="K86" s="8">
        <f>CEILING(MAX(C86*13,),5)</f>
        <v>130</v>
      </c>
      <c r="L86" s="12"/>
      <c r="M86" s="8"/>
      <c r="N86" s="8"/>
      <c r="O86" s="8"/>
      <c r="P86" s="8"/>
      <c r="Q86" s="8"/>
      <c r="R86" s="8"/>
      <c r="S86" s="59"/>
      <c r="T86" s="34">
        <f>IF(C86="","",ROUND(CHOOSE(MATCH(C86,{5,6,7,8,10,12,14,16,18,20,22,25,28,32,40},0),0.154,0.222,0.302,0.395,0.617,0.888,1.209,1.579,1.998,2.467,2.985,3.855,4.836,6.316,9.868)*D86*E86*G86/1000,3))</f>
        <v>16.658999999999999</v>
      </c>
      <c r="V86" s="39"/>
      <c r="W86" s="40"/>
      <c r="X86" s="40"/>
      <c r="Y86" s="40"/>
      <c r="Z86" s="40"/>
      <c r="AA86" s="40"/>
      <c r="AB86" s="40"/>
      <c r="AC86" s="40"/>
      <c r="AD86" s="40"/>
    </row>
    <row r="87" spans="1:30" ht="26.25" customHeight="1" x14ac:dyDescent="0.2">
      <c r="A87" s="6">
        <v>1606</v>
      </c>
      <c r="B87" s="6" t="s">
        <v>59</v>
      </c>
      <c r="C87" s="7">
        <v>16</v>
      </c>
      <c r="D87" s="8">
        <v>2</v>
      </c>
      <c r="E87" s="8">
        <v>6</v>
      </c>
      <c r="F87" s="9">
        <f t="shared" ref="F87:F92" si="23">D87*E87</f>
        <v>12</v>
      </c>
      <c r="G87" s="10">
        <f>IF(H87=222,IF(ISERROR(0/C87/D87/E87/I87/J87/K87),"VOID",ROUND(I87+J87+K87,-1)),"FALSE")</f>
        <v>1750</v>
      </c>
      <c r="H87" s="11">
        <v>222</v>
      </c>
      <c r="I87" s="8">
        <v>1000</v>
      </c>
      <c r="J87" s="8">
        <v>300</v>
      </c>
      <c r="K87" s="8">
        <v>450</v>
      </c>
      <c r="L87" s="38">
        <v>50</v>
      </c>
      <c r="M87" s="8"/>
      <c r="N87" s="37"/>
      <c r="O87" s="8"/>
      <c r="P87" s="8"/>
      <c r="Q87" s="8"/>
      <c r="R87" s="8"/>
      <c r="S87" s="33"/>
      <c r="T87" s="34">
        <f>IF(C87="","",ROUND(CHOOSE(MATCH(C87,{5,6,7,8,10,12,14,16,18,20,22,25,28,32,40},0),0.154,0.222,0.302,0.395,0.617,0.888,1.209,1.579,1.998,2.467,2.985,3.855,4.836,6.316,9.868)*D87*E87*G87/1000,3))</f>
        <v>33.158999999999999</v>
      </c>
      <c r="V87" s="39"/>
      <c r="W87" s="40"/>
      <c r="X87" s="40"/>
      <c r="Y87" s="40"/>
      <c r="Z87" s="40"/>
      <c r="AA87" s="40"/>
      <c r="AB87" s="40"/>
      <c r="AC87" s="40"/>
      <c r="AD87" s="40"/>
    </row>
    <row r="88" spans="1:30" ht="26.25" customHeight="1" x14ac:dyDescent="0.2">
      <c r="A88" s="6">
        <v>1608</v>
      </c>
      <c r="B88" s="6" t="s">
        <v>59</v>
      </c>
      <c r="C88" s="7">
        <v>16</v>
      </c>
      <c r="D88" s="8">
        <v>2</v>
      </c>
      <c r="E88" s="8">
        <v>10</v>
      </c>
      <c r="F88" s="9">
        <f t="shared" si="23"/>
        <v>20</v>
      </c>
      <c r="G88" s="10">
        <f>IF(H88=310,IF(ISERROR(0/C88/D88/E88/I88/J88/K88/M88),"VOID",ROUND(I88+J88+K88+M88-IF(C88&lt;20,1.25*C88,1.75*C88),-1)),"FALSE")</f>
        <v>4910</v>
      </c>
      <c r="H88" s="11">
        <v>310</v>
      </c>
      <c r="I88" s="8">
        <v>3375</v>
      </c>
      <c r="J88" s="8">
        <v>300</v>
      </c>
      <c r="K88" s="8">
        <v>1200</v>
      </c>
      <c r="L88" s="12">
        <v>50</v>
      </c>
      <c r="M88" s="8">
        <v>50</v>
      </c>
      <c r="N88" s="8"/>
      <c r="O88" s="8"/>
      <c r="P88" s="8"/>
      <c r="Q88" s="8"/>
      <c r="R88" s="8"/>
      <c r="S88" s="33"/>
      <c r="T88" s="34">
        <f>IF(C88="","",ROUND(CHOOSE(MATCH(C88,{5,6,7,8,10,12,14,16,18,20,22,25,28,32,40},0),0.154,0.222,0.302,0.395,0.617,0.888,1.209,1.579,1.998,2.467,2.985,3.855,4.836,6.316,9.868)*D88*E88*G88/1000,3))</f>
        <v>155.05799999999999</v>
      </c>
      <c r="V88" s="39"/>
      <c r="W88" s="40"/>
      <c r="X88" s="40"/>
      <c r="Y88" s="40"/>
      <c r="Z88" s="40"/>
      <c r="AA88" s="40"/>
      <c r="AB88" s="40"/>
      <c r="AC88" s="40"/>
      <c r="AD88" s="40"/>
    </row>
    <row r="89" spans="1:30" ht="26.25" customHeight="1" x14ac:dyDescent="0.2">
      <c r="A89" s="6">
        <v>1610</v>
      </c>
      <c r="B89" s="6" t="s">
        <v>59</v>
      </c>
      <c r="C89" s="7">
        <v>16</v>
      </c>
      <c r="D89" s="8">
        <v>2</v>
      </c>
      <c r="E89" s="8">
        <v>4</v>
      </c>
      <c r="F89" s="9">
        <f t="shared" si="23"/>
        <v>8</v>
      </c>
      <c r="G89" s="10">
        <f>IF(H89=310,IF(ISERROR(0/C89/D89/E89/I89/J89/K89/M89),"VOID",ROUND(I89+J89+K89+M89-IF(C89&lt;20,1.25*C89,1.75*C89),-1)),"FALSE")</f>
        <v>4080</v>
      </c>
      <c r="H89" s="11">
        <v>310</v>
      </c>
      <c r="I89" s="8">
        <v>3375</v>
      </c>
      <c r="J89" s="8">
        <v>300</v>
      </c>
      <c r="K89" s="8">
        <v>375</v>
      </c>
      <c r="L89" s="12">
        <v>50</v>
      </c>
      <c r="M89" s="8">
        <v>50</v>
      </c>
      <c r="N89" s="8"/>
      <c r="O89" s="8"/>
      <c r="P89" s="8"/>
      <c r="Q89" s="8"/>
      <c r="R89" s="8"/>
      <c r="S89" s="33"/>
      <c r="T89" s="34">
        <f>IF(C89="","",ROUND(CHOOSE(MATCH(C89,{5,6,7,8,10,12,14,16,18,20,22,25,28,32,40},0),0.154,0.222,0.302,0.395,0.617,0.888,1.209,1.579,1.998,2.467,2.985,3.855,4.836,6.316,9.868)*D89*E89*G89/1000,3))</f>
        <v>51.539000000000001</v>
      </c>
      <c r="V89" s="39"/>
      <c r="W89" s="40"/>
      <c r="X89" s="40"/>
      <c r="Y89" s="40"/>
      <c r="Z89" s="40"/>
      <c r="AA89" s="40"/>
      <c r="AB89" s="40"/>
      <c r="AC89" s="40"/>
      <c r="AD89" s="40"/>
    </row>
    <row r="90" spans="1:30" ht="26.25" customHeight="1" x14ac:dyDescent="0.2">
      <c r="A90" s="6">
        <v>1001</v>
      </c>
      <c r="B90" s="6" t="s">
        <v>59</v>
      </c>
      <c r="C90" s="7">
        <v>10</v>
      </c>
      <c r="D90" s="8">
        <v>2</v>
      </c>
      <c r="E90" s="8">
        <v>15</v>
      </c>
      <c r="F90" s="9">
        <f t="shared" si="23"/>
        <v>30</v>
      </c>
      <c r="G90" s="10">
        <f>IF(H90=500,IF(ISERROR(0/C90/D90/E90/I90/J90/K90),"VOID",ROUND(2*(I90+J90+K90)-IF(C90&lt;20,6.25*C90,8.75*C90),-1)),"FALSE")</f>
        <v>900</v>
      </c>
      <c r="H90" s="11">
        <v>500</v>
      </c>
      <c r="I90" s="8">
        <v>175</v>
      </c>
      <c r="J90" s="8">
        <v>175</v>
      </c>
      <c r="K90" s="8">
        <f>CEILING(MAX(C90*13,),5)</f>
        <v>130</v>
      </c>
      <c r="L90" s="12"/>
      <c r="M90" s="8"/>
      <c r="N90" s="8"/>
      <c r="O90" s="8"/>
      <c r="P90" s="8"/>
      <c r="Q90" s="8"/>
      <c r="R90" s="8"/>
      <c r="S90" s="59"/>
      <c r="T90" s="34">
        <f>IF(C90="","",ROUND(CHOOSE(MATCH(C90,{5,6,7,8,10,12,14,16,18,20,22,25,28,32,40},0),0.154,0.222,0.302,0.395,0.617,0.888,1.209,1.579,1.998,2.467,2.985,3.855,4.836,6.316,9.868)*D90*E90*G90/1000,3))</f>
        <v>16.658999999999999</v>
      </c>
      <c r="V90" s="39"/>
      <c r="W90" s="40"/>
      <c r="X90" s="40"/>
      <c r="Y90" s="40"/>
      <c r="Z90" s="40"/>
      <c r="AA90" s="40"/>
      <c r="AB90" s="40"/>
      <c r="AC90" s="40"/>
      <c r="AD90" s="40"/>
    </row>
    <row r="91" spans="1:30" ht="26.25" customHeight="1" x14ac:dyDescent="0.2">
      <c r="A91" s="6">
        <v>1002</v>
      </c>
      <c r="B91" s="6" t="s">
        <v>59</v>
      </c>
      <c r="C91" s="7">
        <v>10</v>
      </c>
      <c r="D91" s="8">
        <v>2</v>
      </c>
      <c r="E91" s="8">
        <v>15</v>
      </c>
      <c r="F91" s="9">
        <f t="shared" si="23"/>
        <v>30</v>
      </c>
      <c r="G91" s="10">
        <f>IF(H91=500,IF(ISERROR(0/C91/D91/E91/I91/J91/K91),"VOID",ROUND(2*(I91+J91+K91)-IF(C91&lt;20,6.25*C91,8.75*C91),-1)),"FALSE")</f>
        <v>900</v>
      </c>
      <c r="H91" s="11">
        <v>500</v>
      </c>
      <c r="I91" s="8">
        <v>175</v>
      </c>
      <c r="J91" s="8">
        <v>175</v>
      </c>
      <c r="K91" s="8">
        <f>CEILING(MAX(C91*13,),5)</f>
        <v>130</v>
      </c>
      <c r="L91" s="12"/>
      <c r="M91" s="8"/>
      <c r="N91" s="8"/>
      <c r="O91" s="8"/>
      <c r="P91" s="8"/>
      <c r="Q91" s="8"/>
      <c r="R91" s="8"/>
      <c r="S91" s="59"/>
      <c r="T91" s="34">
        <f>IF(C91="","",ROUND(CHOOSE(MATCH(C91,{5,6,7,8,10,12,14,16,18,20,22,25,28,32,40},0),0.154,0.222,0.302,0.395,0.617,0.888,1.209,1.579,1.998,2.467,2.985,3.855,4.836,6.316,9.868)*D91*E91*G91/1000,3))</f>
        <v>16.658999999999999</v>
      </c>
      <c r="V91" s="39"/>
      <c r="W91" s="40"/>
      <c r="X91" s="40"/>
      <c r="Y91" s="40"/>
      <c r="Z91" s="40"/>
      <c r="AA91" s="40"/>
      <c r="AB91" s="40"/>
      <c r="AC91" s="40"/>
      <c r="AD91" s="40"/>
    </row>
    <row r="92" spans="1:30" ht="26.25" customHeight="1" x14ac:dyDescent="0.2">
      <c r="A92" s="6">
        <v>1003</v>
      </c>
      <c r="B92" s="6" t="s">
        <v>59</v>
      </c>
      <c r="C92" s="7">
        <v>10</v>
      </c>
      <c r="D92" s="8">
        <v>2</v>
      </c>
      <c r="E92" s="8">
        <v>15</v>
      </c>
      <c r="F92" s="9">
        <f t="shared" si="23"/>
        <v>30</v>
      </c>
      <c r="G92" s="10">
        <f>IF(H92=500,IF(ISERROR(0/C92/D92/E92/I92/J92/K92),"VOID",ROUND(2*(I92+J92+K92)-IF(C92&lt;20,6.25*C92,8.75*C92),-1)),"FALSE")</f>
        <v>900</v>
      </c>
      <c r="H92" s="11">
        <v>500</v>
      </c>
      <c r="I92" s="8">
        <v>175</v>
      </c>
      <c r="J92" s="8">
        <v>175</v>
      </c>
      <c r="K92" s="8">
        <f>CEILING(MAX(C92*13,),5)</f>
        <v>130</v>
      </c>
      <c r="L92" s="12"/>
      <c r="M92" s="8"/>
      <c r="N92" s="8"/>
      <c r="O92" s="8"/>
      <c r="P92" s="8"/>
      <c r="Q92" s="8"/>
      <c r="R92" s="8"/>
      <c r="S92" s="59"/>
      <c r="T92" s="34">
        <f>IF(C92="","",ROUND(CHOOSE(MATCH(C92,{5,6,7,8,10,12,14,16,18,20,22,25,28,32,40},0),0.154,0.222,0.302,0.395,0.617,0.888,1.209,1.579,1.998,2.467,2.985,3.855,4.836,6.316,9.868)*D92*E92*G92/1000,3))</f>
        <v>16.658999999999999</v>
      </c>
      <c r="V92" s="39"/>
      <c r="W92" s="40"/>
      <c r="X92" s="40"/>
      <c r="Y92" s="40"/>
      <c r="Z92" s="40"/>
      <c r="AA92" s="40"/>
      <c r="AB92" s="40"/>
      <c r="AC92" s="40"/>
      <c r="AD92" s="40"/>
    </row>
    <row r="93" spans="1:30" ht="26.25" customHeight="1" x14ac:dyDescent="0.2">
      <c r="A93" s="6">
        <v>1606</v>
      </c>
      <c r="B93" s="6" t="s">
        <v>60</v>
      </c>
      <c r="C93" s="7">
        <v>16</v>
      </c>
      <c r="D93" s="8">
        <v>2</v>
      </c>
      <c r="E93" s="8">
        <v>4</v>
      </c>
      <c r="F93" s="9">
        <f t="shared" ref="F93:F96" si="24">D93*E93</f>
        <v>8</v>
      </c>
      <c r="G93" s="10">
        <f>IF(H93=222,IF(ISERROR(0/C93/D93/E93/I93/J93/K93),"VOID",ROUND(I93+J93+K93,-1)),"FALSE")</f>
        <v>1750</v>
      </c>
      <c r="H93" s="11">
        <v>222</v>
      </c>
      <c r="I93" s="8">
        <v>1000</v>
      </c>
      <c r="J93" s="8">
        <v>300</v>
      </c>
      <c r="K93" s="8">
        <v>450</v>
      </c>
      <c r="L93" s="38">
        <v>50</v>
      </c>
      <c r="M93" s="8"/>
      <c r="N93" s="37"/>
      <c r="O93" s="8"/>
      <c r="P93" s="8"/>
      <c r="Q93" s="8"/>
      <c r="R93" s="8"/>
      <c r="S93" s="33"/>
      <c r="T93" s="34">
        <f>IF(C93="","",ROUND(CHOOSE(MATCH(C93,{5,6,7,8,10,12,14,16,18,20,22,25,28,32,40},0),0.154,0.222,0.302,0.395,0.617,0.888,1.209,1.579,1.998,2.467,2.985,3.855,4.836,6.316,9.868)*D93*E93*G93/1000,3))</f>
        <v>22.106000000000002</v>
      </c>
      <c r="V93" s="39"/>
      <c r="W93" s="40"/>
      <c r="X93" s="40"/>
      <c r="Y93" s="40"/>
      <c r="Z93" s="40"/>
      <c r="AA93" s="40"/>
      <c r="AB93" s="40"/>
      <c r="AC93" s="40"/>
      <c r="AD93" s="40"/>
    </row>
    <row r="94" spans="1:30" ht="26.25" customHeight="1" x14ac:dyDescent="0.2">
      <c r="A94" s="6">
        <v>1608</v>
      </c>
      <c r="B94" s="6" t="s">
        <v>60</v>
      </c>
      <c r="C94" s="7">
        <v>16</v>
      </c>
      <c r="D94" s="8">
        <v>2</v>
      </c>
      <c r="E94" s="8">
        <v>4</v>
      </c>
      <c r="F94" s="9">
        <f t="shared" si="24"/>
        <v>8</v>
      </c>
      <c r="G94" s="10">
        <f>IF(H94=310,IF(ISERROR(0/C94/D94/E94/I94/J94/K94/M94),"VOID",ROUND(I94+J94+K94+M94-IF(C94&lt;20,1.25*C94,1.75*C94),-1)),"FALSE")</f>
        <v>4910</v>
      </c>
      <c r="H94" s="11">
        <v>310</v>
      </c>
      <c r="I94" s="8">
        <v>3375</v>
      </c>
      <c r="J94" s="8">
        <v>300</v>
      </c>
      <c r="K94" s="8">
        <v>1200</v>
      </c>
      <c r="L94" s="12">
        <v>50</v>
      </c>
      <c r="M94" s="8">
        <v>50</v>
      </c>
      <c r="N94" s="8"/>
      <c r="O94" s="8"/>
      <c r="P94" s="8"/>
      <c r="Q94" s="8"/>
      <c r="R94" s="8"/>
      <c r="S94" s="33"/>
      <c r="T94" s="34">
        <f>IF(C94="","",ROUND(CHOOSE(MATCH(C94,{5,6,7,8,10,12,14,16,18,20,22,25,28,32,40},0),0.154,0.222,0.302,0.395,0.617,0.888,1.209,1.579,1.998,2.467,2.985,3.855,4.836,6.316,9.868)*D94*E94*G94/1000,3))</f>
        <v>62.023000000000003</v>
      </c>
      <c r="V94" s="39"/>
      <c r="W94" s="40"/>
      <c r="X94" s="40"/>
      <c r="Y94" s="40"/>
      <c r="Z94" s="40"/>
      <c r="AA94" s="40"/>
      <c r="AB94" s="40"/>
      <c r="AC94" s="40"/>
      <c r="AD94" s="40"/>
    </row>
    <row r="95" spans="1:30" ht="26.25" customHeight="1" x14ac:dyDescent="0.2">
      <c r="A95" s="6">
        <v>1610</v>
      </c>
      <c r="B95" s="6" t="s">
        <v>60</v>
      </c>
      <c r="C95" s="7">
        <v>16</v>
      </c>
      <c r="D95" s="8">
        <v>2</v>
      </c>
      <c r="E95" s="8">
        <v>4</v>
      </c>
      <c r="F95" s="9">
        <f t="shared" si="24"/>
        <v>8</v>
      </c>
      <c r="G95" s="10">
        <f>IF(H95=310,IF(ISERROR(0/C95/D95/E95/I95/J95/K95/M95),"VOID",ROUND(I95+J95+K95+M95-IF(C95&lt;20,1.25*C95,1.75*C95),-1)),"FALSE")</f>
        <v>4080</v>
      </c>
      <c r="H95" s="11">
        <v>310</v>
      </c>
      <c r="I95" s="8">
        <v>3375</v>
      </c>
      <c r="J95" s="8">
        <v>300</v>
      </c>
      <c r="K95" s="8">
        <v>375</v>
      </c>
      <c r="L95" s="12">
        <v>50</v>
      </c>
      <c r="M95" s="8">
        <v>50</v>
      </c>
      <c r="N95" s="8"/>
      <c r="O95" s="8"/>
      <c r="P95" s="8"/>
      <c r="Q95" s="8"/>
      <c r="R95" s="8"/>
      <c r="S95" s="33"/>
      <c r="T95" s="34">
        <f>IF(C95="","",ROUND(CHOOSE(MATCH(C95,{5,6,7,8,10,12,14,16,18,20,22,25,28,32,40},0),0.154,0.222,0.302,0.395,0.617,0.888,1.209,1.579,1.998,2.467,2.985,3.855,4.836,6.316,9.868)*D95*E95*G95/1000,3))</f>
        <v>51.539000000000001</v>
      </c>
      <c r="V95" s="39"/>
      <c r="W95" s="40"/>
      <c r="X95" s="40"/>
      <c r="Y95" s="40"/>
      <c r="Z95" s="40"/>
      <c r="AA95" s="40"/>
      <c r="AB95" s="40"/>
      <c r="AC95" s="40"/>
      <c r="AD95" s="40"/>
    </row>
    <row r="96" spans="1:30" ht="26.25" customHeight="1" x14ac:dyDescent="0.2">
      <c r="A96" s="6">
        <v>1001</v>
      </c>
      <c r="B96" s="6" t="s">
        <v>60</v>
      </c>
      <c r="C96" s="7">
        <v>10</v>
      </c>
      <c r="D96" s="8">
        <v>2</v>
      </c>
      <c r="E96" s="8">
        <v>37</v>
      </c>
      <c r="F96" s="9">
        <f t="shared" si="24"/>
        <v>74</v>
      </c>
      <c r="G96" s="10">
        <f>IF(H96=500,IF(ISERROR(0/C96/D96/E96/I96/J96/K96),"VOID",ROUND(2*(I96+J96+K96)-IF(C96&lt;20,6.25*C96,8.75*C96),-1)),"FALSE")</f>
        <v>900</v>
      </c>
      <c r="H96" s="11">
        <v>500</v>
      </c>
      <c r="I96" s="8">
        <v>175</v>
      </c>
      <c r="J96" s="8">
        <v>175</v>
      </c>
      <c r="K96" s="8">
        <f>CEILING(MAX(C96*13,),5)</f>
        <v>130</v>
      </c>
      <c r="L96" s="12"/>
      <c r="M96" s="8"/>
      <c r="N96" s="8"/>
      <c r="O96" s="8"/>
      <c r="P96" s="8"/>
      <c r="Q96" s="8"/>
      <c r="R96" s="8"/>
      <c r="S96" s="59"/>
      <c r="T96" s="34">
        <f>IF(C96="","",ROUND(CHOOSE(MATCH(C96,{5,6,7,8,10,12,14,16,18,20,22,25,28,32,40},0),0.154,0.222,0.302,0.395,0.617,0.888,1.209,1.579,1.998,2.467,2.985,3.855,4.836,6.316,9.868)*D96*E96*G96/1000,3))</f>
        <v>41.091999999999999</v>
      </c>
      <c r="V96" s="39"/>
      <c r="W96" s="40"/>
      <c r="X96" s="40"/>
      <c r="Y96" s="40"/>
      <c r="Z96" s="40"/>
      <c r="AA96" s="40"/>
      <c r="AB96" s="40"/>
      <c r="AC96" s="40"/>
      <c r="AD96" s="40"/>
    </row>
    <row r="97" spans="1:30" ht="26.25" customHeight="1" x14ac:dyDescent="0.2">
      <c r="A97" s="6">
        <v>1606</v>
      </c>
      <c r="B97" s="6" t="s">
        <v>61</v>
      </c>
      <c r="C97" s="7">
        <v>16</v>
      </c>
      <c r="D97" s="8">
        <v>2</v>
      </c>
      <c r="E97" s="8">
        <v>4</v>
      </c>
      <c r="F97" s="9">
        <f t="shared" ref="F97:F100" si="25">D97*E97</f>
        <v>8</v>
      </c>
      <c r="G97" s="10">
        <f>IF(H97=222,IF(ISERROR(0/C97/D97/E97/I97/J97/K97),"VOID",ROUND(I97+J97+K97,-1)),"FALSE")</f>
        <v>1750</v>
      </c>
      <c r="H97" s="11">
        <v>222</v>
      </c>
      <c r="I97" s="8">
        <v>1000</v>
      </c>
      <c r="J97" s="8">
        <v>300</v>
      </c>
      <c r="K97" s="8">
        <v>450</v>
      </c>
      <c r="L97" s="38">
        <v>50</v>
      </c>
      <c r="M97" s="8"/>
      <c r="N97" s="37"/>
      <c r="O97" s="8"/>
      <c r="P97" s="8"/>
      <c r="Q97" s="8"/>
      <c r="R97" s="8"/>
      <c r="S97" s="33"/>
      <c r="T97" s="34">
        <f>IF(C97="","",ROUND(CHOOSE(MATCH(C97,{5,6,7,8,10,12,14,16,18,20,22,25,28,32,40},0),0.154,0.222,0.302,0.395,0.617,0.888,1.209,1.579,1.998,2.467,2.985,3.855,4.836,6.316,9.868)*D97*E97*G97/1000,3))</f>
        <v>22.106000000000002</v>
      </c>
      <c r="V97" s="39"/>
      <c r="W97" s="40"/>
      <c r="X97" s="40"/>
      <c r="Y97" s="40"/>
      <c r="Z97" s="40"/>
      <c r="AA97" s="40"/>
      <c r="AB97" s="40"/>
      <c r="AC97" s="40"/>
      <c r="AD97" s="40"/>
    </row>
    <row r="98" spans="1:30" ht="26.25" customHeight="1" x14ac:dyDescent="0.2">
      <c r="A98" s="6">
        <v>1608</v>
      </c>
      <c r="B98" s="6" t="s">
        <v>61</v>
      </c>
      <c r="C98" s="7">
        <v>16</v>
      </c>
      <c r="D98" s="8">
        <v>2</v>
      </c>
      <c r="E98" s="8">
        <v>4</v>
      </c>
      <c r="F98" s="9">
        <f t="shared" si="25"/>
        <v>8</v>
      </c>
      <c r="G98" s="10">
        <f>IF(H98=310,IF(ISERROR(0/C98/D98/E98/I98/J98/K98/M98),"VOID",ROUND(I98+J98+K98+M98-IF(C98&lt;20,1.25*C98,1.75*C98),-1)),"FALSE")</f>
        <v>4910</v>
      </c>
      <c r="H98" s="11">
        <v>310</v>
      </c>
      <c r="I98" s="8">
        <v>3375</v>
      </c>
      <c r="J98" s="8">
        <v>300</v>
      </c>
      <c r="K98" s="8">
        <v>1200</v>
      </c>
      <c r="L98" s="12">
        <v>50</v>
      </c>
      <c r="M98" s="8">
        <v>50</v>
      </c>
      <c r="N98" s="8"/>
      <c r="O98" s="8"/>
      <c r="P98" s="8"/>
      <c r="Q98" s="8"/>
      <c r="R98" s="8"/>
      <c r="S98" s="33"/>
      <c r="T98" s="34">
        <f>IF(C98="","",ROUND(CHOOSE(MATCH(C98,{5,6,7,8,10,12,14,16,18,20,22,25,28,32,40},0),0.154,0.222,0.302,0.395,0.617,0.888,1.209,1.579,1.998,2.467,2.985,3.855,4.836,6.316,9.868)*D98*E98*G98/1000,3))</f>
        <v>62.023000000000003</v>
      </c>
      <c r="V98" s="39"/>
      <c r="W98" s="40"/>
      <c r="X98" s="40"/>
      <c r="Y98" s="40"/>
      <c r="Z98" s="40"/>
      <c r="AA98" s="40"/>
      <c r="AB98" s="40"/>
      <c r="AC98" s="40"/>
      <c r="AD98" s="40"/>
    </row>
    <row r="99" spans="1:30" ht="26.25" customHeight="1" x14ac:dyDescent="0.2">
      <c r="A99" s="6">
        <v>1610</v>
      </c>
      <c r="B99" s="6" t="s">
        <v>61</v>
      </c>
      <c r="C99" s="7">
        <v>16</v>
      </c>
      <c r="D99" s="8">
        <v>2</v>
      </c>
      <c r="E99" s="8">
        <v>4</v>
      </c>
      <c r="F99" s="9">
        <f t="shared" si="25"/>
        <v>8</v>
      </c>
      <c r="G99" s="10">
        <f>IF(H99=310,IF(ISERROR(0/C99/D99/E99/I99/J99/K99/M99),"VOID",ROUND(I99+J99+K99+M99-IF(C99&lt;20,1.25*C99,1.75*C99),-1)),"FALSE")</f>
        <v>4080</v>
      </c>
      <c r="H99" s="11">
        <v>310</v>
      </c>
      <c r="I99" s="8">
        <v>3375</v>
      </c>
      <c r="J99" s="8">
        <v>300</v>
      </c>
      <c r="K99" s="8">
        <v>375</v>
      </c>
      <c r="L99" s="12">
        <v>50</v>
      </c>
      <c r="M99" s="8">
        <v>50</v>
      </c>
      <c r="N99" s="8"/>
      <c r="O99" s="8"/>
      <c r="P99" s="8"/>
      <c r="Q99" s="8"/>
      <c r="R99" s="8"/>
      <c r="S99" s="33"/>
      <c r="T99" s="34">
        <f>IF(C99="","",ROUND(CHOOSE(MATCH(C99,{5,6,7,8,10,12,14,16,18,20,22,25,28,32,40},0),0.154,0.222,0.302,0.395,0.617,0.888,1.209,1.579,1.998,2.467,2.985,3.855,4.836,6.316,9.868)*D99*E99*G99/1000,3))</f>
        <v>51.539000000000001</v>
      </c>
      <c r="V99" s="39"/>
      <c r="W99" s="40"/>
      <c r="X99" s="40"/>
      <c r="Y99" s="40"/>
      <c r="Z99" s="40"/>
      <c r="AA99" s="40"/>
      <c r="AB99" s="40"/>
      <c r="AC99" s="40"/>
      <c r="AD99" s="40"/>
    </row>
    <row r="100" spans="1:30" ht="26.25" customHeight="1" x14ac:dyDescent="0.2">
      <c r="A100" s="6">
        <v>1001</v>
      </c>
      <c r="B100" s="6" t="s">
        <v>61</v>
      </c>
      <c r="C100" s="7">
        <v>10</v>
      </c>
      <c r="D100" s="8">
        <v>2</v>
      </c>
      <c r="E100" s="8">
        <v>21</v>
      </c>
      <c r="F100" s="9">
        <f t="shared" si="25"/>
        <v>42</v>
      </c>
      <c r="G100" s="10">
        <f>IF(H100=500,IF(ISERROR(0/C100/D100/E100/I100/J100/K100),"VOID",ROUND(2*(I100+J100+K100)-IF(C100&lt;20,6.25*C100,8.75*C100),-1)),"FALSE")</f>
        <v>900</v>
      </c>
      <c r="H100" s="11">
        <v>500</v>
      </c>
      <c r="I100" s="8">
        <v>175</v>
      </c>
      <c r="J100" s="8">
        <v>175</v>
      </c>
      <c r="K100" s="8">
        <f>CEILING(MAX(C100*13,),5)</f>
        <v>130</v>
      </c>
      <c r="L100" s="12"/>
      <c r="M100" s="8"/>
      <c r="N100" s="8"/>
      <c r="O100" s="8"/>
      <c r="P100" s="8"/>
      <c r="Q100" s="8"/>
      <c r="R100" s="8"/>
      <c r="S100" s="59"/>
      <c r="T100" s="34">
        <f>IF(C100="","",ROUND(CHOOSE(MATCH(C100,{5,6,7,8,10,12,14,16,18,20,22,25,28,32,40},0),0.154,0.222,0.302,0.395,0.617,0.888,1.209,1.579,1.998,2.467,2.985,3.855,4.836,6.316,9.868)*D100*E100*G100/1000,3))</f>
        <v>23.323</v>
      </c>
      <c r="V100" s="39"/>
      <c r="W100" s="40"/>
      <c r="X100" s="40"/>
      <c r="Y100" s="40"/>
      <c r="Z100" s="40"/>
      <c r="AA100" s="40"/>
      <c r="AB100" s="40"/>
      <c r="AC100" s="40"/>
      <c r="AD100" s="40"/>
    </row>
    <row r="101" spans="1:30" ht="26.25" customHeight="1" x14ac:dyDescent="0.2">
      <c r="A101" s="6">
        <v>1002</v>
      </c>
      <c r="B101" s="6" t="s">
        <v>61</v>
      </c>
      <c r="C101" s="7">
        <v>10</v>
      </c>
      <c r="D101" s="8">
        <v>2</v>
      </c>
      <c r="E101" s="8">
        <v>15</v>
      </c>
      <c r="F101" s="9">
        <f t="shared" ref="F101:F105" si="26">D101*E101</f>
        <v>30</v>
      </c>
      <c r="G101" s="10">
        <f>IF(H101=500,IF(ISERROR(0/C101/D101/E101/I101/J101/K101),"VOID",ROUND(2*(I101+J101+K101)-IF(C101&lt;20,6.25*C101,8.75*C101),-1)),"FALSE")</f>
        <v>900</v>
      </c>
      <c r="H101" s="11">
        <v>500</v>
      </c>
      <c r="I101" s="8">
        <v>175</v>
      </c>
      <c r="J101" s="8">
        <v>175</v>
      </c>
      <c r="K101" s="8">
        <f>CEILING(MAX(C101*13,),5)</f>
        <v>130</v>
      </c>
      <c r="L101" s="12"/>
      <c r="M101" s="8"/>
      <c r="N101" s="8"/>
      <c r="O101" s="8"/>
      <c r="P101" s="8"/>
      <c r="Q101" s="8"/>
      <c r="R101" s="8"/>
      <c r="S101" s="59"/>
      <c r="T101" s="34">
        <f>IF(C101="","",ROUND(CHOOSE(MATCH(C101,{5,6,7,8,10,12,14,16,18,20,22,25,28,32,40},0),0.154,0.222,0.302,0.395,0.617,0.888,1.209,1.579,1.998,2.467,2.985,3.855,4.836,6.316,9.868)*D101*E101*G101/1000,3))</f>
        <v>16.658999999999999</v>
      </c>
      <c r="V101" s="39"/>
      <c r="W101" s="40"/>
      <c r="X101" s="40"/>
      <c r="Y101" s="40"/>
      <c r="Z101" s="40"/>
      <c r="AA101" s="40"/>
      <c r="AB101" s="40"/>
      <c r="AC101" s="40"/>
      <c r="AD101" s="40"/>
    </row>
    <row r="102" spans="1:30" ht="26.25" customHeight="1" x14ac:dyDescent="0.2">
      <c r="A102" s="6">
        <v>2007</v>
      </c>
      <c r="B102" s="6" t="s">
        <v>62</v>
      </c>
      <c r="C102" s="7">
        <v>16</v>
      </c>
      <c r="D102" s="8">
        <v>2</v>
      </c>
      <c r="E102" s="8">
        <v>8</v>
      </c>
      <c r="F102" s="9">
        <f t="shared" si="26"/>
        <v>16</v>
      </c>
      <c r="G102" s="10">
        <f>IF(H102=222,IF(ISERROR(0/C102/D102/E102/I102/J102/K102),"VOID",ROUND(I102+J102+K102,-1)),"FALSE")</f>
        <v>1750</v>
      </c>
      <c r="H102" s="11">
        <v>222</v>
      </c>
      <c r="I102" s="8">
        <v>1000</v>
      </c>
      <c r="J102" s="8">
        <v>300</v>
      </c>
      <c r="K102" s="8">
        <v>450</v>
      </c>
      <c r="L102" s="38">
        <v>50</v>
      </c>
      <c r="M102" s="8"/>
      <c r="N102" s="37"/>
      <c r="O102" s="8"/>
      <c r="P102" s="8"/>
      <c r="Q102" s="8"/>
      <c r="R102" s="8"/>
      <c r="S102" s="33"/>
      <c r="T102" s="34">
        <f>IF(C102="","",ROUND(CHOOSE(MATCH(C102,{5,6,7,8,10,12,14,16,18,20,22,25,28,32,40},0),0.154,0.222,0.302,0.395,0.617,0.888,1.209,1.579,1.998,2.467,2.985,3.855,4.836,6.316,9.868)*D102*E102*G102/1000,3))</f>
        <v>44.212000000000003</v>
      </c>
      <c r="V102" s="39"/>
      <c r="W102" s="40"/>
      <c r="X102" s="40"/>
      <c r="Y102" s="40"/>
      <c r="Z102" s="40"/>
      <c r="AA102" s="40"/>
      <c r="AB102" s="40"/>
      <c r="AC102" s="40"/>
      <c r="AD102" s="40"/>
    </row>
    <row r="103" spans="1:30" ht="39" customHeight="1" x14ac:dyDescent="0.2">
      <c r="A103" s="6">
        <v>2009</v>
      </c>
      <c r="B103" s="6" t="s">
        <v>62</v>
      </c>
      <c r="C103" s="7">
        <v>16</v>
      </c>
      <c r="D103" s="8">
        <v>2</v>
      </c>
      <c r="E103" s="8">
        <v>8</v>
      </c>
      <c r="F103" s="9">
        <f t="shared" si="26"/>
        <v>16</v>
      </c>
      <c r="G103" s="10">
        <f>IF(H103=310,IF(ISERROR(0/C103/D103/E103/I103/J103/K103/M103),"VOID",ROUND(I103+J103+K103+M103-IF(C103&lt;20,1.25*C103,1.75*C103),-1)),"FALSE")</f>
        <v>4910</v>
      </c>
      <c r="H103" s="11">
        <v>310</v>
      </c>
      <c r="I103" s="8">
        <v>3375</v>
      </c>
      <c r="J103" s="8">
        <v>300</v>
      </c>
      <c r="K103" s="8">
        <v>1200</v>
      </c>
      <c r="L103" s="12">
        <v>50</v>
      </c>
      <c r="M103" s="8">
        <v>50</v>
      </c>
      <c r="N103" s="8"/>
      <c r="O103" s="8"/>
      <c r="P103" s="8"/>
      <c r="Q103" s="8"/>
      <c r="R103" s="8"/>
      <c r="S103" s="33"/>
      <c r="T103" s="34">
        <f>IF(C103="","",ROUND(CHOOSE(MATCH(C103,{5,6,7,8,10,12,14,16,18,20,22,25,28,32,40},0),0.154,0.222,0.302,0.395,0.617,0.888,1.209,1.579,1.998,2.467,2.985,3.855,4.836,6.316,9.868)*D103*E103*G103/1000,3))</f>
        <v>124.04600000000001</v>
      </c>
    </row>
    <row r="104" spans="1:30" ht="54.75" customHeight="1" x14ac:dyDescent="0.2">
      <c r="A104" s="6">
        <v>2011</v>
      </c>
      <c r="B104" s="6" t="s">
        <v>62</v>
      </c>
      <c r="C104" s="7">
        <v>16</v>
      </c>
      <c r="D104" s="8">
        <v>2</v>
      </c>
      <c r="E104" s="8">
        <v>6</v>
      </c>
      <c r="F104" s="9">
        <f t="shared" si="26"/>
        <v>12</v>
      </c>
      <c r="G104" s="10">
        <f>IF(H104=310,IF(ISERROR(0/C104/D104/E104/I104/J104/K104/M104),"VOID",ROUND(I104+J104+K104+M104-IF(C104&lt;20,1.25*C104,1.75*C104),-1)),"FALSE")</f>
        <v>4080</v>
      </c>
      <c r="H104" s="11">
        <v>310</v>
      </c>
      <c r="I104" s="8">
        <v>3375</v>
      </c>
      <c r="J104" s="8">
        <v>300</v>
      </c>
      <c r="K104" s="8">
        <v>375</v>
      </c>
      <c r="L104" s="12">
        <v>50</v>
      </c>
      <c r="M104" s="8">
        <v>50</v>
      </c>
      <c r="N104" s="8"/>
      <c r="O104" s="8"/>
      <c r="P104" s="8"/>
      <c r="Q104" s="8"/>
      <c r="R104" s="8"/>
      <c r="S104" s="33"/>
      <c r="T104" s="34">
        <f>IF(C104="","",ROUND(CHOOSE(MATCH(C104,{5,6,7,8,10,12,14,16,18,20,22,25,28,32,40},0),0.154,0.222,0.302,0.395,0.617,0.888,1.209,1.579,1.998,2.467,2.985,3.855,4.836,6.316,9.868)*D104*E104*G104/1000,3))</f>
        <v>77.308000000000007</v>
      </c>
    </row>
    <row r="105" spans="1:30" ht="26.25" customHeight="1" x14ac:dyDescent="0.2">
      <c r="A105" s="6">
        <v>1005</v>
      </c>
      <c r="B105" s="6" t="s">
        <v>62</v>
      </c>
      <c r="C105" s="7">
        <v>10</v>
      </c>
      <c r="D105" s="8">
        <v>2</v>
      </c>
      <c r="E105" s="8">
        <v>30</v>
      </c>
      <c r="F105" s="9">
        <f t="shared" si="26"/>
        <v>60</v>
      </c>
      <c r="G105" s="10">
        <f>IF(H105=500,IF(ISERROR(0/C105/D105/E105/I105/J105/K105),"VOID",ROUND(2*(I105+J105+K105)-IF(C105&lt;20,6.25*C105,8.75*C105),-1)),"FALSE")</f>
        <v>900</v>
      </c>
      <c r="H105" s="11">
        <v>500</v>
      </c>
      <c r="I105" s="8">
        <v>175</v>
      </c>
      <c r="J105" s="8">
        <v>175</v>
      </c>
      <c r="K105" s="8">
        <f>CEILING(MAX(C105*13,),5)</f>
        <v>130</v>
      </c>
      <c r="L105" s="12"/>
      <c r="M105" s="8"/>
      <c r="N105" s="8"/>
      <c r="O105" s="8"/>
      <c r="P105" s="8"/>
      <c r="Q105" s="8"/>
      <c r="R105" s="8"/>
      <c r="S105" s="59"/>
      <c r="T105" s="34">
        <f>IF(C105="","",ROUND(CHOOSE(MATCH(C105,{5,6,7,8,10,12,14,16,18,20,22,25,28,32,40},0),0.154,0.222,0.302,0.395,0.617,0.888,1.209,1.579,1.998,2.467,2.985,3.855,4.836,6.316,9.868)*D105*E105*G105/1000,3))</f>
        <v>33.317999999999998</v>
      </c>
    </row>
    <row r="106" spans="1:30" ht="54.75" customHeight="1" x14ac:dyDescent="0.2">
      <c r="A106" s="6"/>
      <c r="B106" s="6"/>
      <c r="C106" s="7"/>
      <c r="D106" s="8"/>
      <c r="E106" s="8"/>
      <c r="F106" s="9"/>
      <c r="G106" s="10"/>
      <c r="H106" s="11"/>
      <c r="I106" s="8"/>
      <c r="J106" s="8"/>
      <c r="K106" s="8"/>
      <c r="L106" s="12"/>
      <c r="M106" s="8"/>
      <c r="N106" s="8"/>
      <c r="O106" s="8"/>
      <c r="P106" s="8"/>
      <c r="Q106" s="8"/>
      <c r="R106" s="8"/>
      <c r="S106" s="59"/>
      <c r="T106" s="34"/>
    </row>
    <row r="107" spans="1:30" ht="26.25" customHeight="1" x14ac:dyDescent="0.2">
      <c r="A107" s="6">
        <v>1201</v>
      </c>
      <c r="B107" s="6" t="s">
        <v>31</v>
      </c>
      <c r="C107" s="7">
        <v>12</v>
      </c>
      <c r="D107" s="8">
        <v>1</v>
      </c>
      <c r="E107" s="8">
        <v>8</v>
      </c>
      <c r="F107" s="9">
        <f t="shared" si="9"/>
        <v>8</v>
      </c>
      <c r="G107" s="10">
        <f>IF(H107=202,IF(ISERROR(0/C107/D107/E107/I107/J107/K107),"VOID",ROUND(I107+J107+K107-IF(C107&lt;20,1.25*C107,1.75*C107),-1)),"FALSE")</f>
        <v>4590</v>
      </c>
      <c r="H107" s="11">
        <v>202</v>
      </c>
      <c r="I107" s="8">
        <v>3000</v>
      </c>
      <c r="J107" s="8">
        <v>1500</v>
      </c>
      <c r="K107" s="8">
        <v>100</v>
      </c>
      <c r="L107" s="12">
        <v>1600</v>
      </c>
      <c r="M107" s="8"/>
      <c r="N107" s="8"/>
      <c r="O107" s="8"/>
      <c r="P107" s="8"/>
      <c r="Q107" s="8"/>
      <c r="R107" s="8"/>
      <c r="S107" s="35"/>
      <c r="T107" s="34">
        <f>IF(C107="","",ROUND(CHOOSE(MATCH(C107,{5,6,7,8,10,12,14,16,18,20,22,25,28,32,40},0),0.154,0.222,0.302,0.395,0.617,0.888,1.209,1.579,1.998,2.467,2.985,3.855,4.836,6.316,9.868)*D107*E107*G107/1000,3))</f>
        <v>32.606999999999999</v>
      </c>
    </row>
    <row r="108" spans="1:30" ht="61.5" customHeight="1" x14ac:dyDescent="0.2">
      <c r="A108" s="6">
        <v>1202</v>
      </c>
      <c r="B108" s="6" t="s">
        <v>31</v>
      </c>
      <c r="C108" s="7">
        <v>12</v>
      </c>
      <c r="D108" s="8">
        <v>1</v>
      </c>
      <c r="E108" s="8">
        <v>8</v>
      </c>
      <c r="F108" s="9">
        <f t="shared" si="9"/>
        <v>8</v>
      </c>
      <c r="G108" s="10">
        <f>IF(H108=115,IF(ISERROR(0/C108/D108/E108/I108/J108/K108),"VOID",ROUND(I108+0.57*J108+K108-1.6*C108,-1)),"FALSE")</f>
        <v>5540</v>
      </c>
      <c r="H108" s="11">
        <v>115</v>
      </c>
      <c r="I108" s="36">
        <v>4900</v>
      </c>
      <c r="J108" s="55">
        <v>110</v>
      </c>
      <c r="K108" s="50">
        <v>600</v>
      </c>
      <c r="L108" s="54"/>
      <c r="M108" s="8"/>
      <c r="N108" s="8"/>
      <c r="O108" s="8"/>
      <c r="P108" s="8"/>
      <c r="Q108" s="8"/>
      <c r="R108" s="8"/>
      <c r="S108" s="59"/>
      <c r="T108" s="34">
        <f>IF(C108="","",ROUND(CHOOSE(MATCH(C108,{5,6,7,8,10,12,14,16,18,20,22,25,28,32,40},0),0.154,0.222,0.302,0.395,0.617,0.888,1.209,1.579,1.998,2.467,2.985,3.855,4.836,6.316,9.868)*D108*E108*G108/1000,3))</f>
        <v>39.356000000000002</v>
      </c>
    </row>
    <row r="109" spans="1:30" ht="26.25" customHeight="1" x14ac:dyDescent="0.2">
      <c r="A109" s="6">
        <v>1203</v>
      </c>
      <c r="B109" s="6" t="s">
        <v>31</v>
      </c>
      <c r="C109" s="7">
        <v>10</v>
      </c>
      <c r="D109" s="8">
        <v>1</v>
      </c>
      <c r="E109" s="8">
        <v>86</v>
      </c>
      <c r="F109" s="9">
        <f t="shared" si="9"/>
        <v>86</v>
      </c>
      <c r="G109" s="10">
        <f>IF(H109=100,IF(ISERROR(0/C109/D109/E109/I109),"VOID",ROUND(I109,-1)),"FALSE")</f>
        <v>3600</v>
      </c>
      <c r="H109" s="11">
        <v>100</v>
      </c>
      <c r="I109" s="36">
        <v>3600</v>
      </c>
      <c r="J109" s="36"/>
      <c r="K109" s="36"/>
      <c r="L109" s="12"/>
      <c r="M109" s="37"/>
      <c r="N109" s="8"/>
      <c r="O109" s="8"/>
      <c r="P109" s="8"/>
      <c r="Q109" s="8"/>
      <c r="R109" s="8"/>
      <c r="S109" s="59"/>
      <c r="T109" s="34">
        <f>IF(C109="","",ROUND(CHOOSE(MATCH(C109,{5,6,7,8,10,12,14,16,18,20,22,25,28,32,40},0),0.154,0.222,0.302,0.395,0.617,0.888,1.209,1.579,1.998,2.467,2.985,3.855,4.836,6.316,9.868)*D109*E109*G109/1000,3))</f>
        <v>191.023</v>
      </c>
    </row>
    <row r="110" spans="1:30" ht="26.25" customHeight="1" x14ac:dyDescent="0.2">
      <c r="A110" s="6">
        <v>1204</v>
      </c>
      <c r="B110" s="6" t="s">
        <v>31</v>
      </c>
      <c r="C110" s="7">
        <v>12</v>
      </c>
      <c r="D110" s="8">
        <v>1</v>
      </c>
      <c r="E110" s="8">
        <v>8</v>
      </c>
      <c r="F110" s="9">
        <f t="shared" si="9"/>
        <v>8</v>
      </c>
      <c r="G110" s="10">
        <f>IF(H110=115,IF(ISERROR(0/C110/D110/E110/I110/J110/K110),"VOID",ROUND(I110+0.57*J110+K110-1.6*C110,-1)),"FALSE")</f>
        <v>3160</v>
      </c>
      <c r="H110" s="11">
        <v>115</v>
      </c>
      <c r="I110" s="8">
        <v>2513</v>
      </c>
      <c r="J110" s="55">
        <v>110</v>
      </c>
      <c r="K110" s="50">
        <v>600</v>
      </c>
      <c r="L110" s="41"/>
      <c r="M110" s="8"/>
      <c r="N110" s="8"/>
      <c r="O110" s="8"/>
      <c r="P110" s="8"/>
      <c r="Q110" s="8"/>
      <c r="R110" s="8"/>
      <c r="S110" s="59"/>
      <c r="T110" s="34">
        <f>IF(C110="","",ROUND(CHOOSE(MATCH(C110,{5,6,7,8,10,12,14,16,18,20,22,25,28,32,40},0),0.154,0.222,0.302,0.395,0.617,0.888,1.209,1.579,1.998,2.467,2.985,3.855,4.836,6.316,9.868)*D110*E110*G110/1000,3))</f>
        <v>22.449000000000002</v>
      </c>
    </row>
    <row r="111" spans="1:30" ht="54.75" customHeight="1" x14ac:dyDescent="0.2">
      <c r="A111" s="6">
        <v>1205</v>
      </c>
      <c r="B111" s="6" t="s">
        <v>31</v>
      </c>
      <c r="C111" s="7">
        <v>12</v>
      </c>
      <c r="D111" s="8">
        <v>1</v>
      </c>
      <c r="E111" s="8">
        <v>16</v>
      </c>
      <c r="F111" s="9">
        <f t="shared" ref="F111:F116" si="27">D111*E111</f>
        <v>16</v>
      </c>
      <c r="G111" s="10">
        <f>IF(H111=100,IF(ISERROR(0/C111/D111/E111/I111),"VOID",ROUND(I111,-1)),"FALSE")</f>
        <v>600</v>
      </c>
      <c r="H111" s="11">
        <v>100</v>
      </c>
      <c r="I111" s="36">
        <v>600</v>
      </c>
      <c r="J111" s="36"/>
      <c r="K111" s="8"/>
      <c r="L111" s="53"/>
      <c r="M111" s="8"/>
      <c r="N111" s="37"/>
      <c r="O111" s="8"/>
      <c r="P111" s="8"/>
      <c r="Q111" s="8"/>
      <c r="R111" s="8"/>
      <c r="S111" s="59"/>
      <c r="T111" s="34">
        <f>IF(C111="","",ROUND(CHOOSE(MATCH(C111,{5,6,7,8,10,12,14,16,18,20,22,25,28,32,40},0),0.154,0.222,0.302,0.395,0.617,0.888,1.209,1.579,1.998,2.467,2.985,3.855,4.836,6.316,9.868)*D111*E111*G111/1000,3))</f>
        <v>8.5250000000000004</v>
      </c>
    </row>
    <row r="112" spans="1:30" ht="54.75" customHeight="1" x14ac:dyDescent="0.2">
      <c r="A112" s="6">
        <v>1206</v>
      </c>
      <c r="B112" s="6" t="s">
        <v>31</v>
      </c>
      <c r="C112" s="7">
        <v>12</v>
      </c>
      <c r="D112" s="8">
        <v>1</v>
      </c>
      <c r="E112" s="8">
        <v>9</v>
      </c>
      <c r="F112" s="9">
        <f t="shared" si="27"/>
        <v>9</v>
      </c>
      <c r="G112" s="10">
        <f>IF(H112=233,IF(ISERROR(0/C112/D112/E112/I112/J112/K112/L112),"VOID",ROUND(I112+1.14*J112+K112+L112-3.14*C112,-1)),"FALSE")</f>
        <v>3910</v>
      </c>
      <c r="H112" s="11">
        <v>233</v>
      </c>
      <c r="I112" s="8">
        <v>2625</v>
      </c>
      <c r="J112" s="50">
        <v>110</v>
      </c>
      <c r="K112" s="50">
        <v>600</v>
      </c>
      <c r="L112" s="52">
        <v>600</v>
      </c>
      <c r="M112" s="8"/>
      <c r="N112" s="8"/>
      <c r="O112" s="8"/>
      <c r="P112" s="8"/>
      <c r="Q112" s="8"/>
      <c r="R112" s="8"/>
      <c r="S112" s="33"/>
      <c r="T112" s="34">
        <f>IF(C112="","",ROUND(CHOOSE(MATCH(C112,{5,6,7,8,10,12,14,16,18,20,22,25,28,32,40},0),0.154,0.222,0.302,0.395,0.617,0.888,1.209,1.579,1.998,2.467,2.985,3.855,4.836,6.316,9.868)*D112*E112*G112/1000,3))</f>
        <v>31.248999999999999</v>
      </c>
    </row>
    <row r="113" spans="1:20" ht="26.25" customHeight="1" x14ac:dyDescent="0.2">
      <c r="A113" s="6">
        <v>1007</v>
      </c>
      <c r="B113" s="6" t="s">
        <v>31</v>
      </c>
      <c r="C113" s="7">
        <v>10</v>
      </c>
      <c r="D113" s="8">
        <v>1</v>
      </c>
      <c r="E113" s="8">
        <v>6</v>
      </c>
      <c r="F113" s="9">
        <f t="shared" si="27"/>
        <v>6</v>
      </c>
      <c r="G113" s="10">
        <f>IF(H113=100,IF(ISERROR(0/C113/D113/E113/I113),"VOID",ROUND(I113,-1)),"FALSE")</f>
        <v>1300</v>
      </c>
      <c r="H113" s="11">
        <v>100</v>
      </c>
      <c r="I113" s="36">
        <v>1300</v>
      </c>
      <c r="J113" s="55"/>
      <c r="K113" s="55"/>
      <c r="L113" s="12"/>
      <c r="M113" s="37"/>
      <c r="N113" s="8"/>
      <c r="O113" s="8"/>
      <c r="P113" s="8"/>
      <c r="Q113" s="8"/>
      <c r="R113" s="8"/>
      <c r="S113" s="59"/>
      <c r="T113" s="34">
        <f>IF(C113="","",ROUND(CHOOSE(MATCH(C113,{5,6,7,8,10,12,14,16,18,20,22,25,28,32,40},0),0.154,0.222,0.302,0.395,0.617,0.888,1.209,1.579,1.998,2.467,2.985,3.855,4.836,6.316,9.868)*D113*E113*G113/1000,3))</f>
        <v>4.8129999999999997</v>
      </c>
    </row>
    <row r="114" spans="1:20" ht="26.25" customHeight="1" x14ac:dyDescent="0.2">
      <c r="A114" s="6">
        <v>1208</v>
      </c>
      <c r="B114" s="6" t="s">
        <v>31</v>
      </c>
      <c r="C114" s="7">
        <v>12</v>
      </c>
      <c r="D114" s="8">
        <v>1</v>
      </c>
      <c r="E114" s="8">
        <v>16</v>
      </c>
      <c r="F114" s="9">
        <f t="shared" si="27"/>
        <v>16</v>
      </c>
      <c r="G114" s="10">
        <f>IF(H114=100,IF(ISERROR(0/C114/D114/E114/I114),"VOID",ROUND(I114,-1)),"FALSE")</f>
        <v>600</v>
      </c>
      <c r="H114" s="11">
        <v>100</v>
      </c>
      <c r="I114" s="36">
        <v>600</v>
      </c>
      <c r="J114" s="36"/>
      <c r="K114" s="8"/>
      <c r="L114" s="54"/>
      <c r="M114" s="50"/>
      <c r="N114" s="8"/>
      <c r="O114" s="8"/>
      <c r="P114" s="8"/>
      <c r="Q114" s="8"/>
      <c r="R114" s="8"/>
      <c r="S114" s="59"/>
      <c r="T114" s="34">
        <f>IF(C114="","",ROUND(CHOOSE(MATCH(C114,{5,6,7,8,10,12,14,16,18,20,22,25,28,32,40},0),0.154,0.222,0.302,0.395,0.617,0.888,1.209,1.579,1.998,2.467,2.985,3.855,4.836,6.316,9.868)*D114*E114*G114/1000,3))</f>
        <v>8.5250000000000004</v>
      </c>
    </row>
    <row r="115" spans="1:20" ht="54.75" customHeight="1" x14ac:dyDescent="0.2">
      <c r="A115" s="6">
        <v>1209</v>
      </c>
      <c r="B115" s="6" t="s">
        <v>31</v>
      </c>
      <c r="C115" s="7">
        <v>12</v>
      </c>
      <c r="D115" s="8">
        <v>1</v>
      </c>
      <c r="E115" s="8">
        <v>8</v>
      </c>
      <c r="F115" s="9">
        <f t="shared" si="27"/>
        <v>8</v>
      </c>
      <c r="G115" s="10">
        <f>IF(H115=115,IF(ISERROR(0/C115/D115/E115/I115/J115/K115),"VOID",ROUND(I115+0.57*J115+K115-1.6*C115,-1)),"FALSE")</f>
        <v>3160</v>
      </c>
      <c r="H115" s="11">
        <v>115</v>
      </c>
      <c r="I115" s="8">
        <v>2513</v>
      </c>
      <c r="J115" s="8">
        <v>110</v>
      </c>
      <c r="K115" s="36">
        <v>600</v>
      </c>
      <c r="L115" s="57"/>
      <c r="M115" s="50"/>
      <c r="N115" s="37"/>
      <c r="O115" s="8"/>
      <c r="P115" s="8"/>
      <c r="Q115" s="8"/>
      <c r="R115" s="8"/>
      <c r="S115" s="59"/>
      <c r="T115" s="34">
        <f>IF(C115="","",ROUND(CHOOSE(MATCH(C115,{5,6,7,8,10,12,14,16,18,20,22,25,28,32,40},0),0.154,0.222,0.302,0.395,0.617,0.888,1.209,1.579,1.998,2.467,2.985,3.855,4.836,6.316,9.868)*D115*E115*G115/1000,3))</f>
        <v>22.449000000000002</v>
      </c>
    </row>
    <row r="116" spans="1:20" ht="26.25" customHeight="1" x14ac:dyDescent="0.2">
      <c r="A116" s="6">
        <v>1210</v>
      </c>
      <c r="B116" s="6" t="s">
        <v>31</v>
      </c>
      <c r="C116" s="7">
        <v>12</v>
      </c>
      <c r="D116" s="8">
        <v>1</v>
      </c>
      <c r="E116" s="8">
        <v>8</v>
      </c>
      <c r="F116" s="9">
        <f t="shared" si="27"/>
        <v>8</v>
      </c>
      <c r="G116" s="10">
        <f>IF(H116=115,IF(ISERROR(0/C116/D116/E116/I116/J116/K116),"VOID",ROUND(I116+0.57*J116+K116-1.6*C116,-1)),"FALSE")</f>
        <v>7340</v>
      </c>
      <c r="H116" s="11">
        <v>115</v>
      </c>
      <c r="I116" s="8">
        <v>6700</v>
      </c>
      <c r="J116" s="50">
        <v>110</v>
      </c>
      <c r="K116" s="55">
        <v>600</v>
      </c>
      <c r="L116" s="38"/>
      <c r="M116" s="8"/>
      <c r="N116" s="37"/>
      <c r="O116" s="8"/>
      <c r="P116" s="8"/>
      <c r="Q116" s="8"/>
      <c r="R116" s="8"/>
      <c r="S116" s="59"/>
      <c r="T116" s="34">
        <f>IF(C116="","",ROUND(CHOOSE(MATCH(C116,{5,6,7,8,10,12,14,16,18,20,22,25,28,32,40},0),0.154,0.222,0.302,0.395,0.617,0.888,1.209,1.579,1.998,2.467,2.985,3.855,4.836,6.316,9.868)*D116*E116*G116/1000,3))</f>
        <v>52.143000000000001</v>
      </c>
    </row>
    <row r="117" spans="1:20" ht="54.75" customHeight="1" x14ac:dyDescent="0.2">
      <c r="A117" s="6">
        <v>1211</v>
      </c>
      <c r="B117" s="6" t="s">
        <v>31</v>
      </c>
      <c r="C117" s="7">
        <v>12</v>
      </c>
      <c r="D117" s="8">
        <v>1</v>
      </c>
      <c r="E117" s="8">
        <v>8</v>
      </c>
      <c r="F117" s="9">
        <f t="shared" ref="F117:F156" si="28">D117*E117</f>
        <v>8</v>
      </c>
      <c r="G117" s="10">
        <f>IF(H117=100,IF(ISERROR(0/C117/D117/E117/I117),"VOID",ROUND(I117,-1)),"FALSE")</f>
        <v>2400</v>
      </c>
      <c r="H117" s="11">
        <v>100</v>
      </c>
      <c r="I117" s="36">
        <v>2400</v>
      </c>
      <c r="J117" s="36"/>
      <c r="K117" s="8"/>
      <c r="L117" s="41"/>
      <c r="M117" s="8"/>
      <c r="N117" s="8"/>
      <c r="O117" s="8"/>
      <c r="P117" s="8"/>
      <c r="Q117" s="8"/>
      <c r="R117" s="8"/>
      <c r="S117" s="59"/>
      <c r="T117" s="34">
        <f>IF(C117="","",ROUND(CHOOSE(MATCH(C117,{5,6,7,8,10,12,14,16,18,20,22,25,28,32,40},0),0.154,0.222,0.302,0.395,0.617,0.888,1.209,1.579,1.998,2.467,2.985,3.855,4.836,6.316,9.868)*D117*E117*G117/1000,3))</f>
        <v>17.05</v>
      </c>
    </row>
    <row r="118" spans="1:20" ht="54.75" customHeight="1" x14ac:dyDescent="0.2">
      <c r="A118" s="6">
        <v>1212</v>
      </c>
      <c r="B118" s="6" t="s">
        <v>31</v>
      </c>
      <c r="C118" s="7">
        <v>12</v>
      </c>
      <c r="D118" s="8">
        <v>1</v>
      </c>
      <c r="E118" s="8">
        <v>8</v>
      </c>
      <c r="F118" s="9">
        <f t="shared" ref="F118" si="29">D118*E118</f>
        <v>8</v>
      </c>
      <c r="G118" s="10">
        <f>IF(H118=100,IF(ISERROR(0/C118/D118/E118/I118),"VOID",ROUND(I118,-1)),"FALSE")</f>
        <v>2250</v>
      </c>
      <c r="H118" s="11">
        <v>100</v>
      </c>
      <c r="I118" s="36">
        <v>2250</v>
      </c>
      <c r="J118" s="36"/>
      <c r="K118" s="8"/>
      <c r="L118" s="41"/>
      <c r="M118" s="8"/>
      <c r="N118" s="8"/>
      <c r="O118" s="8"/>
      <c r="P118" s="8"/>
      <c r="Q118" s="8"/>
      <c r="R118" s="8"/>
      <c r="S118" s="59"/>
      <c r="T118" s="34">
        <f>IF(C118="","",ROUND(CHOOSE(MATCH(C118,{5,6,7,8,10,12,14,16,18,20,22,25,28,32,40},0),0.154,0.222,0.302,0.395,0.617,0.888,1.209,1.579,1.998,2.467,2.985,3.855,4.836,6.316,9.868)*D118*E118*G118/1000,3))</f>
        <v>15.984</v>
      </c>
    </row>
    <row r="119" spans="1:20" ht="26.25" customHeight="1" x14ac:dyDescent="0.2">
      <c r="A119" s="6">
        <v>1213</v>
      </c>
      <c r="B119" s="6" t="s">
        <v>31</v>
      </c>
      <c r="C119" s="7">
        <v>12</v>
      </c>
      <c r="D119" s="8">
        <v>1</v>
      </c>
      <c r="E119" s="8">
        <v>8</v>
      </c>
      <c r="F119" s="9">
        <f t="shared" ref="F119" si="30">D119*E119</f>
        <v>8</v>
      </c>
      <c r="G119" s="10">
        <f>IF(H119=115,IF(ISERROR(0/C119/D119/E119/I119/J119/K119),"VOID",ROUND(I119+0.57*J119+K119-1.6*C119,-1)),"FALSE")</f>
        <v>7040</v>
      </c>
      <c r="H119" s="11">
        <v>115</v>
      </c>
      <c r="I119" s="36">
        <v>6400</v>
      </c>
      <c r="J119" s="36">
        <v>110</v>
      </c>
      <c r="K119" s="8">
        <v>600</v>
      </c>
      <c r="L119" s="41"/>
      <c r="M119" s="8"/>
      <c r="N119" s="8"/>
      <c r="O119" s="8"/>
      <c r="P119" s="8"/>
      <c r="Q119" s="8"/>
      <c r="R119" s="8"/>
      <c r="S119" s="59"/>
      <c r="T119" s="34">
        <f>IF(C119="","",ROUND(CHOOSE(MATCH(C119,{5,6,7,8,10,12,14,16,18,20,22,25,28,32,40},0),0.154,0.222,0.302,0.395,0.617,0.888,1.209,1.579,1.998,2.467,2.985,3.855,4.836,6.316,9.868)*D119*E119*G119/1000,3))</f>
        <v>50.012</v>
      </c>
    </row>
    <row r="120" spans="1:20" ht="54.75" customHeight="1" x14ac:dyDescent="0.2">
      <c r="A120" s="6"/>
      <c r="B120" s="6"/>
      <c r="C120" s="7"/>
      <c r="D120" s="8"/>
      <c r="E120" s="8"/>
      <c r="F120" s="9"/>
      <c r="G120" s="10"/>
      <c r="H120" s="11"/>
      <c r="I120" s="8"/>
      <c r="J120" s="8"/>
      <c r="K120" s="8"/>
      <c r="L120" s="12"/>
      <c r="M120" s="8"/>
      <c r="N120" s="8"/>
      <c r="O120" s="8"/>
      <c r="P120" s="8"/>
      <c r="Q120" s="8"/>
      <c r="R120" s="8"/>
      <c r="S120" s="33"/>
      <c r="T120" s="34"/>
    </row>
    <row r="121" spans="1:20" ht="54.75" customHeight="1" x14ac:dyDescent="0.2">
      <c r="A121" s="6">
        <v>1201</v>
      </c>
      <c r="B121" s="6" t="s">
        <v>27</v>
      </c>
      <c r="C121" s="7">
        <v>12</v>
      </c>
      <c r="D121" s="8">
        <v>1</v>
      </c>
      <c r="E121" s="8">
        <v>52</v>
      </c>
      <c r="F121" s="9">
        <f t="shared" si="28"/>
        <v>52</v>
      </c>
      <c r="G121" s="10">
        <f>IF(H121=115,IF(ISERROR(0/C121/D121/E121/I121/J121/K121),"VOID",ROUND(I121+0.57*J121+K121-1.6*C121,-1)),"FALSE")</f>
        <v>5070</v>
      </c>
      <c r="H121" s="11">
        <v>115</v>
      </c>
      <c r="I121" s="8">
        <v>4425</v>
      </c>
      <c r="J121" s="8">
        <v>110</v>
      </c>
      <c r="K121" s="8">
        <v>600</v>
      </c>
      <c r="L121" s="12"/>
      <c r="M121" s="8"/>
      <c r="N121" s="8"/>
      <c r="O121" s="8"/>
      <c r="P121" s="8"/>
      <c r="Q121" s="8"/>
      <c r="R121" s="8"/>
      <c r="S121" s="59"/>
      <c r="T121" s="34">
        <f>IF(C121="","",ROUND(CHOOSE(MATCH(C121,{5,6,7,8,10,12,14,16,18,20,22,25,28,32,40},0),0.154,0.222,0.302,0.395,0.617,0.888,1.209,1.579,1.998,2.467,2.985,3.855,4.836,6.316,9.868)*D121*E121*G121/1000,3))</f>
        <v>234.11199999999999</v>
      </c>
    </row>
    <row r="122" spans="1:20" ht="26.25" customHeight="1" x14ac:dyDescent="0.2">
      <c r="A122" s="6">
        <v>1202</v>
      </c>
      <c r="B122" s="6" t="s">
        <v>27</v>
      </c>
      <c r="C122" s="7">
        <v>12</v>
      </c>
      <c r="D122" s="8">
        <v>1</v>
      </c>
      <c r="E122" s="8">
        <v>258</v>
      </c>
      <c r="F122" s="9">
        <f t="shared" si="28"/>
        <v>258</v>
      </c>
      <c r="G122" s="10">
        <f>IF(H122=115,IF(ISERROR(0/C122/D122/E122/I122/J122/K122),"VOID",ROUND(I122+0.57*J122+K122-1.6*C122,-1)),"FALSE")</f>
        <v>8240</v>
      </c>
      <c r="H122" s="11">
        <v>115</v>
      </c>
      <c r="I122" s="36">
        <v>7600</v>
      </c>
      <c r="J122" s="36">
        <v>110</v>
      </c>
      <c r="K122" s="36">
        <v>600</v>
      </c>
      <c r="L122" s="38"/>
      <c r="M122" s="8"/>
      <c r="N122" s="37"/>
      <c r="O122" s="8"/>
      <c r="P122" s="8"/>
      <c r="Q122" s="8"/>
      <c r="R122" s="8"/>
      <c r="S122" s="59"/>
      <c r="T122" s="34">
        <f>IF(C122="","",ROUND(CHOOSE(MATCH(C122,{5,6,7,8,10,12,14,16,18,20,22,25,28,32,40},0),0.154,0.222,0.302,0.395,0.617,0.888,1.209,1.579,1.998,2.467,2.985,3.855,4.836,6.316,9.868)*D122*E122*G122/1000,3))</f>
        <v>1887.817</v>
      </c>
    </row>
    <row r="123" spans="1:20" ht="26.25" customHeight="1" x14ac:dyDescent="0.2">
      <c r="A123" s="6">
        <v>1203</v>
      </c>
      <c r="B123" s="6" t="s">
        <v>27</v>
      </c>
      <c r="C123" s="7">
        <v>12</v>
      </c>
      <c r="D123" s="8">
        <v>1</v>
      </c>
      <c r="E123" s="8">
        <v>124</v>
      </c>
      <c r="F123" s="9">
        <f t="shared" si="28"/>
        <v>124</v>
      </c>
      <c r="G123" s="10">
        <f>IF(H123=100,IF(ISERROR(0/C123/D123/E123/I123),"VOID",ROUND(I123,-1)),"FALSE")</f>
        <v>3850</v>
      </c>
      <c r="H123" s="11">
        <v>100</v>
      </c>
      <c r="I123" s="36">
        <v>3850</v>
      </c>
      <c r="J123" s="36">
        <v>110</v>
      </c>
      <c r="K123" s="8">
        <v>600</v>
      </c>
      <c r="L123" s="41"/>
      <c r="M123" s="8"/>
      <c r="N123" s="8"/>
      <c r="O123" s="8"/>
      <c r="P123" s="8"/>
      <c r="Q123" s="8"/>
      <c r="R123" s="8"/>
      <c r="S123" s="59"/>
      <c r="T123" s="34">
        <f>IF(C123="","",ROUND(CHOOSE(MATCH(C123,{5,6,7,8,10,12,14,16,18,20,22,25,28,32,40},0),0.154,0.222,0.302,0.395,0.617,0.888,1.209,1.579,1.998,2.467,2.985,3.855,4.836,6.316,9.868)*D123*E123*G123/1000,3))</f>
        <v>423.93099999999998</v>
      </c>
    </row>
    <row r="124" spans="1:20" ht="26.25" customHeight="1" x14ac:dyDescent="0.2">
      <c r="A124" s="6">
        <v>1204</v>
      </c>
      <c r="B124" s="6" t="s">
        <v>27</v>
      </c>
      <c r="C124" s="7">
        <v>12</v>
      </c>
      <c r="D124" s="8">
        <v>1</v>
      </c>
      <c r="E124" s="8">
        <v>191</v>
      </c>
      <c r="F124" s="9">
        <f t="shared" si="28"/>
        <v>191</v>
      </c>
      <c r="G124" s="10">
        <f>IF(H124=115,IF(ISERROR(0/C124/D124/E124/I124/J124/K124),"VOID",ROUND(I124+0.57*J124+K124-1.6*C124,-1)),"FALSE")</f>
        <v>6480</v>
      </c>
      <c r="H124" s="11">
        <v>115</v>
      </c>
      <c r="I124" s="8">
        <v>5838</v>
      </c>
      <c r="J124" s="8">
        <v>110</v>
      </c>
      <c r="K124" s="8">
        <v>600</v>
      </c>
      <c r="L124" s="12"/>
      <c r="M124" s="8"/>
      <c r="N124" s="8"/>
      <c r="O124" s="8"/>
      <c r="P124" s="8"/>
      <c r="Q124" s="8"/>
      <c r="R124" s="8"/>
      <c r="S124" s="59"/>
      <c r="T124" s="34">
        <f>IF(C124="","",ROUND(CHOOSE(MATCH(C124,{5,6,7,8,10,12,14,16,18,20,22,25,28,32,40},0),0.154,0.222,0.302,0.395,0.617,0.888,1.209,1.579,1.998,2.467,2.985,3.855,4.836,6.316,9.868)*D124*E124*G124/1000,3))</f>
        <v>1099.06</v>
      </c>
    </row>
    <row r="125" spans="1:20" ht="54.75" customHeight="1" x14ac:dyDescent="0.2">
      <c r="A125" s="6">
        <v>1205</v>
      </c>
      <c r="B125" s="6" t="s">
        <v>27</v>
      </c>
      <c r="C125" s="7">
        <v>12</v>
      </c>
      <c r="D125" s="8">
        <v>1</v>
      </c>
      <c r="E125" s="8">
        <v>433</v>
      </c>
      <c r="F125" s="9">
        <f t="shared" si="28"/>
        <v>433</v>
      </c>
      <c r="G125" s="10">
        <f>IF(H125=115,IF(ISERROR(0/C125/D125/E125/I125/J125/K125),"VOID",ROUND(I125+0.57*J125+K125-1.6*C125,-1)),"FALSE")</f>
        <v>6510</v>
      </c>
      <c r="H125" s="11">
        <v>115</v>
      </c>
      <c r="I125" s="8">
        <v>5867</v>
      </c>
      <c r="J125" s="8">
        <v>110</v>
      </c>
      <c r="K125" s="8">
        <v>600</v>
      </c>
      <c r="L125" s="12"/>
      <c r="M125" s="8"/>
      <c r="N125" s="8"/>
      <c r="O125" s="8"/>
      <c r="P125" s="8"/>
      <c r="Q125" s="8"/>
      <c r="R125" s="8"/>
      <c r="S125" s="59"/>
      <c r="T125" s="34">
        <f>IF(C125="","",ROUND(CHOOSE(MATCH(C125,{5,6,7,8,10,12,14,16,18,20,22,25,28,32,40},0),0.154,0.222,0.302,0.395,0.617,0.888,1.209,1.579,1.998,2.467,2.985,3.855,4.836,6.316,9.868)*D125*E125*G125/1000,3))</f>
        <v>2503.1210000000001</v>
      </c>
    </row>
    <row r="126" spans="1:20" ht="54.75" customHeight="1" x14ac:dyDescent="0.2">
      <c r="A126" s="6">
        <v>1206</v>
      </c>
      <c r="B126" s="6" t="s">
        <v>27</v>
      </c>
      <c r="C126" s="7">
        <v>12</v>
      </c>
      <c r="D126" s="8">
        <v>1</v>
      </c>
      <c r="E126" s="8">
        <v>160</v>
      </c>
      <c r="F126" s="9">
        <f t="shared" si="28"/>
        <v>160</v>
      </c>
      <c r="G126" s="10">
        <f>IF(H126=100,IF(ISERROR(0/C126/D126/E126/I126),"VOID",ROUND(I126,-1)),"FALSE")</f>
        <v>2650</v>
      </c>
      <c r="H126" s="11">
        <v>100</v>
      </c>
      <c r="I126" s="8">
        <v>2650</v>
      </c>
      <c r="J126" s="8"/>
      <c r="K126" s="8"/>
      <c r="L126" s="12"/>
      <c r="M126" s="8"/>
      <c r="N126" s="8"/>
      <c r="O126" s="8"/>
      <c r="P126" s="8"/>
      <c r="Q126" s="8"/>
      <c r="R126" s="8"/>
      <c r="S126" s="59"/>
      <c r="T126" s="34">
        <f>IF(C126="","",ROUND(CHOOSE(MATCH(C126,{5,6,7,8,10,12,14,16,18,20,22,25,28,32,40},0),0.154,0.222,0.302,0.395,0.617,0.888,1.209,1.579,1.998,2.467,2.985,3.855,4.836,6.316,9.868)*D126*E126*G126/1000,3))</f>
        <v>376.512</v>
      </c>
    </row>
    <row r="127" spans="1:20" ht="26.25" customHeight="1" x14ac:dyDescent="0.2">
      <c r="A127" s="6">
        <v>1006</v>
      </c>
      <c r="B127" s="6" t="s">
        <v>27</v>
      </c>
      <c r="C127" s="7">
        <v>10</v>
      </c>
      <c r="D127" s="8">
        <v>1</v>
      </c>
      <c r="E127" s="8">
        <v>24</v>
      </c>
      <c r="F127" s="9">
        <f t="shared" ref="F127" si="31">D127*E127</f>
        <v>24</v>
      </c>
      <c r="G127" s="10">
        <f>IF(H127=100,IF(ISERROR(0/C127/D127/E127/I127),"VOID",ROUND(I127,-1)),"FALSE")</f>
        <v>2630</v>
      </c>
      <c r="H127" s="11">
        <v>100</v>
      </c>
      <c r="I127" s="8">
        <v>2625</v>
      </c>
      <c r="J127" s="8"/>
      <c r="K127" s="8"/>
      <c r="L127" s="12"/>
      <c r="M127" s="8"/>
      <c r="N127" s="8"/>
      <c r="O127" s="8"/>
      <c r="P127" s="8"/>
      <c r="Q127" s="8"/>
      <c r="R127" s="8"/>
      <c r="S127" s="62"/>
      <c r="T127" s="34">
        <f>IF(C127="","",ROUND(CHOOSE(MATCH(C127,{5,6,7,8,10,12,14,16,18,20,22,25,28,32,40},0),0.154,0.222,0.302,0.395,0.617,0.888,1.209,1.579,1.998,2.467,2.985,3.855,4.836,6.316,9.868)*D127*E127*G127/1000,3))</f>
        <v>38.945</v>
      </c>
    </row>
    <row r="128" spans="1:20" ht="61.5" customHeight="1" x14ac:dyDescent="0.2">
      <c r="A128" s="6">
        <v>1207</v>
      </c>
      <c r="B128" s="6" t="s">
        <v>27</v>
      </c>
      <c r="C128" s="7">
        <v>12</v>
      </c>
      <c r="D128" s="8">
        <v>1</v>
      </c>
      <c r="E128" s="8">
        <v>140</v>
      </c>
      <c r="F128" s="9">
        <f t="shared" si="28"/>
        <v>140</v>
      </c>
      <c r="G128" s="10">
        <f>IF(H128=100,IF(ISERROR(0/C128/D128/E128/I128),"VOID",ROUND(I128,-1)),"FALSE")</f>
        <v>11430</v>
      </c>
      <c r="H128" s="11">
        <v>100</v>
      </c>
      <c r="I128" s="8">
        <v>11430</v>
      </c>
      <c r="J128" s="8"/>
      <c r="K128" s="8"/>
      <c r="L128" s="12"/>
      <c r="M128" s="8"/>
      <c r="N128" s="8"/>
      <c r="O128" s="8"/>
      <c r="P128" s="8"/>
      <c r="Q128" s="8"/>
      <c r="R128" s="8"/>
      <c r="S128" s="59"/>
      <c r="T128" s="34">
        <f>IF(C128="","",ROUND(CHOOSE(MATCH(C128,{5,6,7,8,10,12,14,16,18,20,22,25,28,32,40},0),0.154,0.222,0.302,0.395,0.617,0.888,1.209,1.579,1.998,2.467,2.985,3.855,4.836,6.316,9.868)*D128*E128*G128/1000,3))</f>
        <v>1420.9780000000001</v>
      </c>
    </row>
    <row r="129" spans="1:20" ht="54.75" customHeight="1" x14ac:dyDescent="0.2">
      <c r="A129" s="6">
        <v>1208</v>
      </c>
      <c r="B129" s="6" t="s">
        <v>27</v>
      </c>
      <c r="C129" s="7">
        <v>12</v>
      </c>
      <c r="D129" s="8">
        <v>1</v>
      </c>
      <c r="E129" s="8">
        <v>124</v>
      </c>
      <c r="F129" s="9">
        <f t="shared" si="28"/>
        <v>124</v>
      </c>
      <c r="G129" s="10">
        <f>IF(H129=115,IF(ISERROR(0/C129/D129/E129/I129/J129/K129),"VOID",ROUND(I129+0.57*J129+K129-1.6*C129,-1)),"FALSE")</f>
        <v>9140</v>
      </c>
      <c r="H129" s="11">
        <v>115</v>
      </c>
      <c r="I129" s="8">
        <v>8500</v>
      </c>
      <c r="J129" s="8">
        <v>110</v>
      </c>
      <c r="K129" s="8">
        <v>600</v>
      </c>
      <c r="L129" s="52"/>
      <c r="M129" s="8"/>
      <c r="N129" s="8"/>
      <c r="O129" s="8"/>
      <c r="P129" s="8"/>
      <c r="Q129" s="8"/>
      <c r="R129" s="8"/>
      <c r="S129" s="59"/>
      <c r="T129" s="34">
        <f>IF(C129="","",ROUND(CHOOSE(MATCH(C129,{5,6,7,8,10,12,14,16,18,20,22,25,28,32,40},0),0.154,0.222,0.302,0.395,0.617,0.888,1.209,1.579,1.998,2.467,2.985,3.855,4.836,6.316,9.868)*D129*E129*G129/1000,3))</f>
        <v>1006.424</v>
      </c>
    </row>
    <row r="130" spans="1:20" ht="54.75" customHeight="1" x14ac:dyDescent="0.2">
      <c r="A130" s="6">
        <v>1209</v>
      </c>
      <c r="B130" s="6" t="s">
        <v>27</v>
      </c>
      <c r="C130" s="7">
        <v>12</v>
      </c>
      <c r="D130" s="8">
        <v>1</v>
      </c>
      <c r="E130" s="8">
        <v>146</v>
      </c>
      <c r="F130" s="9">
        <f t="shared" si="28"/>
        <v>146</v>
      </c>
      <c r="G130" s="10">
        <f>IF(H130=115,IF(ISERROR(0/C130/D130/E130/I130/J130/K130),"VOID",ROUND(I130+0.57*J130+K130-1.6*C130,-1)),"FALSE")</f>
        <v>7540</v>
      </c>
      <c r="H130" s="11">
        <v>115</v>
      </c>
      <c r="I130" s="8">
        <v>6900</v>
      </c>
      <c r="J130" s="50">
        <v>110</v>
      </c>
      <c r="K130" s="55">
        <v>600</v>
      </c>
      <c r="L130" s="52"/>
      <c r="M130" s="37"/>
      <c r="N130" s="8"/>
      <c r="O130" s="8"/>
      <c r="P130" s="8"/>
      <c r="Q130" s="8"/>
      <c r="R130" s="8"/>
      <c r="S130" s="59"/>
      <c r="T130" s="34">
        <f>IF(C130="","",ROUND(CHOOSE(MATCH(C130,{5,6,7,8,10,12,14,16,18,20,22,25,28,32,40},0),0.154,0.222,0.302,0.395,0.617,0.888,1.209,1.579,1.998,2.467,2.985,3.855,4.836,6.316,9.868)*D130*E130*G130/1000,3))</f>
        <v>977.54600000000005</v>
      </c>
    </row>
    <row r="131" spans="1:20" ht="26.25" customHeight="1" x14ac:dyDescent="0.2">
      <c r="A131" s="6">
        <v>1009</v>
      </c>
      <c r="B131" s="6" t="s">
        <v>27</v>
      </c>
      <c r="C131" s="7">
        <v>10</v>
      </c>
      <c r="D131" s="8">
        <v>1</v>
      </c>
      <c r="E131" s="8">
        <v>55</v>
      </c>
      <c r="F131" s="9">
        <f t="shared" ref="F131" si="32">D131*E131</f>
        <v>55</v>
      </c>
      <c r="G131" s="10">
        <f>IF(H131=100,IF(ISERROR(0/C131/D131/E131/I131),"VOID",ROUND(I131,-1)),"FALSE")</f>
        <v>6980</v>
      </c>
      <c r="H131" s="11">
        <v>100</v>
      </c>
      <c r="I131" s="36">
        <v>6975</v>
      </c>
      <c r="J131" s="36"/>
      <c r="K131" s="36"/>
      <c r="L131" s="12"/>
      <c r="M131" s="37"/>
      <c r="N131" s="8"/>
      <c r="O131" s="8"/>
      <c r="P131" s="8"/>
      <c r="Q131" s="8"/>
      <c r="R131" s="8"/>
      <c r="S131" s="59"/>
      <c r="T131" s="34">
        <f>IF(C131="","",ROUND(CHOOSE(MATCH(C131,{5,6,7,8,10,12,14,16,18,20,22,25,28,32,40},0),0.154,0.222,0.302,0.395,0.617,0.888,1.209,1.579,1.998,2.467,2.985,3.855,4.836,6.316,9.868)*D131*E131*G131/1000,3))</f>
        <v>236.86600000000001</v>
      </c>
    </row>
    <row r="132" spans="1:20" ht="54.75" customHeight="1" x14ac:dyDescent="0.2">
      <c r="A132" s="6">
        <v>1210</v>
      </c>
      <c r="B132" s="6" t="s">
        <v>27</v>
      </c>
      <c r="C132" s="7">
        <v>12</v>
      </c>
      <c r="D132" s="8">
        <v>1</v>
      </c>
      <c r="E132" s="8">
        <v>147</v>
      </c>
      <c r="F132" s="9">
        <f t="shared" si="28"/>
        <v>147</v>
      </c>
      <c r="G132" s="10">
        <f>IF(H132=233,IF(ISERROR(0/C132/D132/E132/I132/J132/K132/L132),"VOID",ROUND(I132+1.14*J132+K132+L132-3.14*C132,-1)),"FALSE")</f>
        <v>5560</v>
      </c>
      <c r="H132" s="11">
        <v>233</v>
      </c>
      <c r="I132" s="8">
        <v>4275</v>
      </c>
      <c r="J132" s="51">
        <v>110</v>
      </c>
      <c r="K132" s="51">
        <v>600</v>
      </c>
      <c r="L132" s="60">
        <v>600</v>
      </c>
      <c r="M132" s="8"/>
      <c r="N132" s="8"/>
      <c r="O132" s="8"/>
      <c r="P132" s="8"/>
      <c r="Q132" s="8"/>
      <c r="R132" s="8"/>
      <c r="S132" s="33"/>
      <c r="T132" s="34">
        <f>IF(C132="","",ROUND(CHOOSE(MATCH(C132,{5,6,7,8,10,12,14,16,18,20,22,25,28,32,40},0),0.154,0.222,0.302,0.395,0.617,0.888,1.209,1.579,1.998,2.467,2.985,3.855,4.836,6.316,9.868)*D132*E132*G132/1000,3))</f>
        <v>725.78</v>
      </c>
    </row>
    <row r="133" spans="1:20" ht="54.75" customHeight="1" x14ac:dyDescent="0.2">
      <c r="A133" s="6">
        <v>1211</v>
      </c>
      <c r="B133" s="6" t="s">
        <v>27</v>
      </c>
      <c r="C133" s="7">
        <v>12</v>
      </c>
      <c r="D133" s="8">
        <v>1</v>
      </c>
      <c r="E133" s="8">
        <v>78</v>
      </c>
      <c r="F133" s="9">
        <f t="shared" si="28"/>
        <v>78</v>
      </c>
      <c r="G133" s="10">
        <f>IF(H133=115,IF(ISERROR(0/C133/D133/E133/I133/J133/K133),"VOID",ROUND(I133+0.57*J133+K133-1.6*C133,-1)),"FALSE")</f>
        <v>11330</v>
      </c>
      <c r="H133" s="11">
        <v>115</v>
      </c>
      <c r="I133" s="8">
        <v>10688</v>
      </c>
      <c r="J133" s="8">
        <v>110</v>
      </c>
      <c r="K133" s="8">
        <v>600</v>
      </c>
      <c r="L133" s="12"/>
      <c r="M133" s="8"/>
      <c r="N133" s="8"/>
      <c r="O133" s="8"/>
      <c r="P133" s="8"/>
      <c r="Q133" s="8"/>
      <c r="R133" s="8"/>
      <c r="S133" s="59"/>
      <c r="T133" s="34">
        <f>IF(C133="","",ROUND(CHOOSE(MATCH(C133,{5,6,7,8,10,12,14,16,18,20,22,25,28,32,40},0),0.154,0.222,0.302,0.395,0.617,0.888,1.209,1.579,1.998,2.467,2.985,3.855,4.836,6.316,9.868)*D133*E133*G133/1000,3))</f>
        <v>784.76099999999997</v>
      </c>
    </row>
    <row r="134" spans="1:20" ht="26.25" customHeight="1" x14ac:dyDescent="0.2">
      <c r="A134" s="6">
        <v>1011</v>
      </c>
      <c r="B134" s="6" t="s">
        <v>100</v>
      </c>
      <c r="C134" s="7">
        <v>10</v>
      </c>
      <c r="D134" s="8">
        <v>1</v>
      </c>
      <c r="E134" s="8">
        <v>547</v>
      </c>
      <c r="F134" s="9">
        <f t="shared" si="28"/>
        <v>547</v>
      </c>
      <c r="G134" s="10">
        <f>IF(H134=100,IF(ISERROR(0/C134/D134/E134/I134),"VOID",ROUND(I134,-1)),"FALSE")</f>
        <v>18000</v>
      </c>
      <c r="H134" s="11">
        <v>100</v>
      </c>
      <c r="I134" s="36">
        <v>18000</v>
      </c>
      <c r="J134" s="36"/>
      <c r="K134" s="36"/>
      <c r="L134" s="12"/>
      <c r="M134" s="37"/>
      <c r="N134" s="8"/>
      <c r="O134" s="8"/>
      <c r="P134" s="8"/>
      <c r="Q134" s="8"/>
      <c r="R134" s="8"/>
      <c r="S134" s="69"/>
      <c r="T134" s="34">
        <f>IF(C134="","",ROUND(CHOOSE(MATCH(C134,{5,6,7,8,10,12,14,16,18,20,22,25,28,32,40},0),0.154,0.222,0.302,0.395,0.617,0.888,1.209,1.579,1.998,2.467,2.985,3.855,4.836,6.316,9.868)*D134*E134*G134/1000,3))</f>
        <v>6074.982</v>
      </c>
    </row>
    <row r="135" spans="1:20" ht="26.25" customHeight="1" x14ac:dyDescent="0.2">
      <c r="A135" s="6">
        <v>1212</v>
      </c>
      <c r="B135" s="6" t="s">
        <v>27</v>
      </c>
      <c r="C135" s="7">
        <v>12</v>
      </c>
      <c r="D135" s="8">
        <v>1</v>
      </c>
      <c r="E135" s="8">
        <v>204</v>
      </c>
      <c r="F135" s="9">
        <f t="shared" si="28"/>
        <v>204</v>
      </c>
      <c r="G135" s="10">
        <f>IF(H135=115,IF(ISERROR(0/C135/D135/E135/I135/J135/K135),"VOID",ROUND(I135+0.57*J135+K135-1.6*C135,-1)),"FALSE")</f>
        <v>8480</v>
      </c>
      <c r="H135" s="11">
        <v>115</v>
      </c>
      <c r="I135" s="8">
        <v>7837</v>
      </c>
      <c r="J135" s="8">
        <v>110</v>
      </c>
      <c r="K135" s="8">
        <v>600</v>
      </c>
      <c r="L135" s="12"/>
      <c r="M135" s="8"/>
      <c r="N135" s="8"/>
      <c r="O135" s="8"/>
      <c r="P135" s="8"/>
      <c r="Q135" s="8"/>
      <c r="R135" s="8"/>
      <c r="S135" s="59"/>
      <c r="T135" s="34">
        <f>IF(C135="","",ROUND(CHOOSE(MATCH(C135,{5,6,7,8,10,12,14,16,18,20,22,25,28,32,40},0),0.154,0.222,0.302,0.395,0.617,0.888,1.209,1.579,1.998,2.467,2.985,3.855,4.836,6.316,9.868)*D135*E135*G135/1000,3))</f>
        <v>1536.1690000000001</v>
      </c>
    </row>
    <row r="136" spans="1:20" ht="54.75" customHeight="1" x14ac:dyDescent="0.2">
      <c r="A136" s="6">
        <v>1213</v>
      </c>
      <c r="B136" s="6" t="s">
        <v>27</v>
      </c>
      <c r="C136" s="7">
        <v>12</v>
      </c>
      <c r="D136" s="8">
        <v>1</v>
      </c>
      <c r="E136" s="8">
        <v>56</v>
      </c>
      <c r="F136" s="9">
        <f t="shared" si="28"/>
        <v>56</v>
      </c>
      <c r="G136" s="10">
        <f>IF(H136=100,IF(ISERROR(0/C136/D136/E136/I136),"VOID",ROUND(I136,-1)),"FALSE")</f>
        <v>4430</v>
      </c>
      <c r="H136" s="11">
        <v>100</v>
      </c>
      <c r="I136" s="8">
        <v>4425</v>
      </c>
      <c r="J136" s="8"/>
      <c r="K136" s="8"/>
      <c r="L136" s="12"/>
      <c r="M136" s="8"/>
      <c r="N136" s="8"/>
      <c r="O136" s="8"/>
      <c r="P136" s="8"/>
      <c r="Q136" s="8"/>
      <c r="R136" s="8"/>
      <c r="S136" s="59"/>
      <c r="T136" s="34">
        <f>IF(C136="","",ROUND(CHOOSE(MATCH(C136,{5,6,7,8,10,12,14,16,18,20,22,25,28,32,40},0),0.154,0.222,0.302,0.395,0.617,0.888,1.209,1.579,1.998,2.467,2.985,3.855,4.836,6.316,9.868)*D136*E136*G136/1000,3))</f>
        <v>220.29499999999999</v>
      </c>
    </row>
    <row r="137" spans="1:20" ht="54.75" customHeight="1" x14ac:dyDescent="0.2">
      <c r="A137" s="6">
        <v>1214</v>
      </c>
      <c r="B137" s="6" t="s">
        <v>27</v>
      </c>
      <c r="C137" s="7">
        <v>12</v>
      </c>
      <c r="D137" s="8">
        <v>1</v>
      </c>
      <c r="E137" s="8">
        <v>204</v>
      </c>
      <c r="F137" s="9">
        <f t="shared" si="28"/>
        <v>204</v>
      </c>
      <c r="G137" s="10">
        <f>IF(H137=115,IF(ISERROR(0/C137/D137/E137/I137/J137/K137),"VOID",ROUND(I137+0.57*J137+K137-1.6*C137,-1)),"FALSE")</f>
        <v>10770</v>
      </c>
      <c r="H137" s="11">
        <v>115</v>
      </c>
      <c r="I137" s="8">
        <v>10125</v>
      </c>
      <c r="J137" s="50">
        <v>110</v>
      </c>
      <c r="K137" s="50">
        <v>600</v>
      </c>
      <c r="L137" s="12"/>
      <c r="M137" s="8"/>
      <c r="N137" s="8"/>
      <c r="O137" s="8"/>
      <c r="P137" s="8"/>
      <c r="Q137" s="8"/>
      <c r="R137" s="8"/>
      <c r="S137" s="59"/>
      <c r="T137" s="34">
        <f>IF(C137="","",ROUND(CHOOSE(MATCH(C137,{5,6,7,8,10,12,14,16,18,20,22,25,28,32,40},0),0.154,0.222,0.302,0.395,0.617,0.888,1.209,1.579,1.998,2.467,2.985,3.855,4.836,6.316,9.868)*D137*E137*G137/1000,3))</f>
        <v>1951.0070000000001</v>
      </c>
    </row>
    <row r="138" spans="1:20" ht="26.25" customHeight="1" x14ac:dyDescent="0.2">
      <c r="A138" s="6">
        <v>1215</v>
      </c>
      <c r="B138" s="6" t="s">
        <v>27</v>
      </c>
      <c r="C138" s="7">
        <v>12</v>
      </c>
      <c r="D138" s="8">
        <v>1</v>
      </c>
      <c r="E138" s="8">
        <v>21</v>
      </c>
      <c r="F138" s="9">
        <f t="shared" ref="F138" si="33">D138*E138</f>
        <v>21</v>
      </c>
      <c r="G138" s="10">
        <f>IF(H138=115,IF(ISERROR(0/C138/D138/E138/I138/J138/K138),"VOID",ROUND(I138+0.57*J138+K138-1.6*C138,-1)),"FALSE")</f>
        <v>3270</v>
      </c>
      <c r="H138" s="11">
        <v>115</v>
      </c>
      <c r="I138" s="36">
        <v>2625</v>
      </c>
      <c r="J138" s="36">
        <v>110</v>
      </c>
      <c r="K138" s="8">
        <v>600</v>
      </c>
      <c r="L138" s="41"/>
      <c r="M138" s="8"/>
      <c r="N138" s="8"/>
      <c r="O138" s="8"/>
      <c r="P138" s="8"/>
      <c r="Q138" s="8"/>
      <c r="R138" s="8"/>
      <c r="S138" s="59"/>
      <c r="T138" s="34">
        <f>IF(C138="","",ROUND(CHOOSE(MATCH(C138,{5,6,7,8,10,12,14,16,18,20,22,25,28,32,40},0),0.154,0.222,0.302,0.395,0.617,0.888,1.209,1.579,1.998,2.467,2.985,3.855,4.836,6.316,9.868)*D138*E138*G138/1000,3))</f>
        <v>60.978999999999999</v>
      </c>
    </row>
    <row r="139" spans="1:20" ht="26.25" customHeight="1" x14ac:dyDescent="0.2">
      <c r="A139" s="6">
        <v>1217</v>
      </c>
      <c r="B139" s="6" t="s">
        <v>27</v>
      </c>
      <c r="C139" s="7">
        <v>12</v>
      </c>
      <c r="D139" s="8">
        <v>1</v>
      </c>
      <c r="E139" s="8">
        <v>642</v>
      </c>
      <c r="F139" s="9">
        <f t="shared" si="28"/>
        <v>642</v>
      </c>
      <c r="G139" s="10">
        <f>IF(H139=100,IF(ISERROR(0/C139/D139/E139/I139),"VOID",ROUND(I139,-1)),"FALSE")</f>
        <v>2630</v>
      </c>
      <c r="H139" s="11">
        <v>100</v>
      </c>
      <c r="I139" s="36">
        <v>2625</v>
      </c>
      <c r="J139" s="36"/>
      <c r="K139" s="8"/>
      <c r="L139" s="41"/>
      <c r="M139" s="8"/>
      <c r="N139" s="8"/>
      <c r="O139" s="8"/>
      <c r="P139" s="8"/>
      <c r="Q139" s="8"/>
      <c r="R139" s="8"/>
      <c r="S139" s="59"/>
      <c r="T139" s="34">
        <f>IF(C139="","",ROUND(CHOOSE(MATCH(C139,{5,6,7,8,10,12,14,16,18,20,22,25,28,32,40},0),0.154,0.222,0.302,0.395,0.617,0.888,1.209,1.579,1.998,2.467,2.985,3.855,4.836,6.316,9.868)*D139*E139*G139/1000,3))</f>
        <v>1499.3520000000001</v>
      </c>
    </row>
    <row r="140" spans="1:20" ht="26.25" customHeight="1" x14ac:dyDescent="0.2">
      <c r="A140" s="6">
        <v>1017</v>
      </c>
      <c r="B140" s="6" t="s">
        <v>27</v>
      </c>
      <c r="C140" s="7">
        <v>10</v>
      </c>
      <c r="D140" s="8">
        <v>1</v>
      </c>
      <c r="E140" s="8">
        <v>17</v>
      </c>
      <c r="F140" s="9">
        <f t="shared" ref="F140" si="34">D140*E140</f>
        <v>17</v>
      </c>
      <c r="G140" s="10">
        <f>IF(H140=115,IF(ISERROR(0/C140/D140/E140/I140/J140/K140),"VOID",ROUND(I140+0.57*J140+K140-1.6*C140,-1)),"FALSE")</f>
        <v>4400</v>
      </c>
      <c r="H140" s="11">
        <v>115</v>
      </c>
      <c r="I140" s="8">
        <v>3750</v>
      </c>
      <c r="J140" s="8">
        <v>110</v>
      </c>
      <c r="K140" s="8">
        <v>600</v>
      </c>
      <c r="L140" s="12"/>
      <c r="M140" s="8"/>
      <c r="N140" s="8"/>
      <c r="O140" s="8"/>
      <c r="P140" s="8"/>
      <c r="Q140" s="8"/>
      <c r="R140" s="8"/>
      <c r="S140" s="61"/>
      <c r="T140" s="34">
        <f>IF(C140="","",ROUND(CHOOSE(MATCH(C140,{5,6,7,8,10,12,14,16,18,20,22,25,28,32,40},0),0.154,0.222,0.302,0.395,0.617,0.888,1.209,1.579,1.998,2.467,2.985,3.855,4.836,6.316,9.868)*D140*E140*G140/1000,3))</f>
        <v>46.152000000000001</v>
      </c>
    </row>
    <row r="141" spans="1:20" ht="26.25" customHeight="1" x14ac:dyDescent="0.2">
      <c r="A141" s="6">
        <v>1218</v>
      </c>
      <c r="B141" s="6" t="s">
        <v>27</v>
      </c>
      <c r="C141" s="7">
        <v>12</v>
      </c>
      <c r="D141" s="8">
        <v>1</v>
      </c>
      <c r="E141" s="8">
        <v>236</v>
      </c>
      <c r="F141" s="9">
        <f t="shared" si="28"/>
        <v>236</v>
      </c>
      <c r="G141" s="10">
        <f>IF(H141=115,IF(ISERROR(0/C141/D141/E141/I141/J141/K141),"VOID",ROUND(I141+0.57*J141+K141-1.6*C141,-1)),"FALSE")</f>
        <v>8670</v>
      </c>
      <c r="H141" s="11">
        <v>115</v>
      </c>
      <c r="I141" s="8">
        <v>8025</v>
      </c>
      <c r="J141" s="50">
        <v>110</v>
      </c>
      <c r="K141" s="50">
        <v>600</v>
      </c>
      <c r="L141" s="12"/>
      <c r="M141" s="8"/>
      <c r="N141" s="8"/>
      <c r="O141" s="8"/>
      <c r="P141" s="8"/>
      <c r="Q141" s="8"/>
      <c r="R141" s="8"/>
      <c r="S141" s="59"/>
      <c r="T141" s="34">
        <f>IF(C141="","",ROUND(CHOOSE(MATCH(C141,{5,6,7,8,10,12,14,16,18,20,22,25,28,32,40},0),0.154,0.222,0.302,0.395,0.617,0.888,1.209,1.579,1.998,2.467,2.985,3.855,4.836,6.316,9.868)*D141*E141*G141/1000,3))</f>
        <v>1816.9549999999999</v>
      </c>
    </row>
    <row r="142" spans="1:20" ht="26.25" customHeight="1" x14ac:dyDescent="0.2">
      <c r="A142" s="6">
        <v>1219</v>
      </c>
      <c r="B142" s="6" t="s">
        <v>27</v>
      </c>
      <c r="C142" s="7">
        <v>12</v>
      </c>
      <c r="D142" s="8">
        <v>1</v>
      </c>
      <c r="E142" s="8">
        <v>126</v>
      </c>
      <c r="F142" s="9">
        <f t="shared" si="28"/>
        <v>126</v>
      </c>
      <c r="G142" s="10">
        <f>IF(H142=100,IF(ISERROR(0/C142/D142/E142/I142),"VOID",ROUND(I142,-1)),"FALSE")</f>
        <v>2630</v>
      </c>
      <c r="H142" s="11">
        <v>100</v>
      </c>
      <c r="I142" s="36">
        <v>2625</v>
      </c>
      <c r="J142" s="36"/>
      <c r="K142" s="8"/>
      <c r="L142" s="41"/>
      <c r="M142" s="8"/>
      <c r="N142" s="8"/>
      <c r="O142" s="8"/>
      <c r="P142" s="8"/>
      <c r="Q142" s="8"/>
      <c r="R142" s="8"/>
      <c r="S142" s="59"/>
      <c r="T142" s="34">
        <f>IF(C142="","",ROUND(CHOOSE(MATCH(C142,{5,6,7,8,10,12,14,16,18,20,22,25,28,32,40},0),0.154,0.222,0.302,0.395,0.617,0.888,1.209,1.579,1.998,2.467,2.985,3.855,4.836,6.316,9.868)*D142*E142*G142/1000,3))</f>
        <v>294.26499999999999</v>
      </c>
    </row>
    <row r="143" spans="1:20" ht="26.25" customHeight="1" x14ac:dyDescent="0.2">
      <c r="A143" s="6">
        <v>1220</v>
      </c>
      <c r="B143" s="6" t="s">
        <v>27</v>
      </c>
      <c r="C143" s="7">
        <v>12</v>
      </c>
      <c r="D143" s="8">
        <v>1</v>
      </c>
      <c r="E143" s="8">
        <v>717</v>
      </c>
      <c r="F143" s="9">
        <f t="shared" si="28"/>
        <v>717</v>
      </c>
      <c r="G143" s="10">
        <f t="shared" ref="G143" si="35">IF(H143=100,IF(ISERROR(0/C143/D143/E143/I143),"VOID",ROUND(I143,-1)),"FALSE")</f>
        <v>1200</v>
      </c>
      <c r="H143" s="11">
        <v>100</v>
      </c>
      <c r="I143" s="8">
        <v>1200</v>
      </c>
      <c r="J143" s="51"/>
      <c r="K143" s="51"/>
      <c r="L143" s="12"/>
      <c r="M143" s="8"/>
      <c r="N143" s="8"/>
      <c r="O143" s="8"/>
      <c r="P143" s="8"/>
      <c r="Q143" s="8"/>
      <c r="R143" s="8"/>
      <c r="S143" s="35"/>
      <c r="T143" s="34">
        <f>IF(C143="","",ROUND(CHOOSE(MATCH(C143,{5,6,7,8,10,12,14,16,18,20,22,25,28,32,40},0),0.154,0.222,0.302,0.395,0.617,0.888,1.209,1.579,1.998,2.467,2.985,3.855,4.836,6.316,9.868)*D143*E143*G143/1000,3))</f>
        <v>764.03499999999997</v>
      </c>
    </row>
    <row r="144" spans="1:20" ht="26.25" customHeight="1" x14ac:dyDescent="0.2">
      <c r="A144" s="6">
        <v>1020</v>
      </c>
      <c r="B144" s="6" t="s">
        <v>100</v>
      </c>
      <c r="C144" s="7">
        <v>10</v>
      </c>
      <c r="D144" s="8">
        <v>1</v>
      </c>
      <c r="E144" s="8">
        <v>149</v>
      </c>
      <c r="F144" s="9">
        <f t="shared" ref="F144" si="36">D144*E144</f>
        <v>149</v>
      </c>
      <c r="G144" s="10">
        <f>IF(H144=100,IF(ISERROR(0/C144/D144/E144/I144),"VOID",ROUND(I144,-1)),"FALSE")</f>
        <v>29440</v>
      </c>
      <c r="H144" s="11">
        <v>100</v>
      </c>
      <c r="I144" s="36">
        <v>29438</v>
      </c>
      <c r="J144" s="36"/>
      <c r="K144" s="8"/>
      <c r="L144" s="41"/>
      <c r="M144" s="8"/>
      <c r="N144" s="8"/>
      <c r="O144" s="8"/>
      <c r="P144" s="8"/>
      <c r="Q144" s="8"/>
      <c r="R144" s="8"/>
      <c r="S144" s="73"/>
      <c r="T144" s="34">
        <f>IF(C144="","",ROUND(CHOOSE(MATCH(C144,{5,6,7,8,10,12,14,16,18,20,22,25,28,32,40},0),0.154,0.222,0.302,0.395,0.617,0.888,1.209,1.579,1.998,2.467,2.985,3.855,4.836,6.316,9.868)*D144*E144*G144/1000,3))</f>
        <v>2706.5079999999998</v>
      </c>
    </row>
    <row r="145" spans="1:20" ht="26.25" customHeight="1" x14ac:dyDescent="0.2">
      <c r="A145" s="6">
        <v>1221</v>
      </c>
      <c r="B145" s="6" t="s">
        <v>27</v>
      </c>
      <c r="C145" s="7">
        <v>12</v>
      </c>
      <c r="D145" s="8">
        <v>1</v>
      </c>
      <c r="E145" s="8">
        <v>504</v>
      </c>
      <c r="F145" s="9">
        <f t="shared" si="28"/>
        <v>504</v>
      </c>
      <c r="G145" s="10">
        <f t="shared" ref="G145:G153" si="37">IF(H145=100,IF(ISERROR(0/C145/D145/E145/I145),"VOID",ROUND(I145,-1)),"FALSE")</f>
        <v>1200</v>
      </c>
      <c r="H145" s="11">
        <v>100</v>
      </c>
      <c r="I145" s="8">
        <v>1200</v>
      </c>
      <c r="J145" s="50"/>
      <c r="K145" s="50"/>
      <c r="L145" s="12"/>
      <c r="M145" s="8"/>
      <c r="N145" s="8"/>
      <c r="O145" s="8"/>
      <c r="P145" s="8"/>
      <c r="Q145" s="8"/>
      <c r="R145" s="8"/>
      <c r="S145" s="59"/>
      <c r="T145" s="34">
        <f>IF(C145="","",ROUND(CHOOSE(MATCH(C145,{5,6,7,8,10,12,14,16,18,20,22,25,28,32,40},0),0.154,0.222,0.302,0.395,0.617,0.888,1.209,1.579,1.998,2.467,2.985,3.855,4.836,6.316,9.868)*D145*E145*G145/1000,3))</f>
        <v>537.06200000000001</v>
      </c>
    </row>
    <row r="146" spans="1:20" ht="26.25" customHeight="1" x14ac:dyDescent="0.2">
      <c r="A146" s="6">
        <v>1021</v>
      </c>
      <c r="B146" s="6" t="s">
        <v>100</v>
      </c>
      <c r="C146" s="7">
        <v>10</v>
      </c>
      <c r="D146" s="8">
        <v>1</v>
      </c>
      <c r="E146" s="8">
        <v>42</v>
      </c>
      <c r="F146" s="9">
        <f t="shared" si="28"/>
        <v>42</v>
      </c>
      <c r="G146" s="10">
        <f>IF(H146=100,IF(ISERROR(0/C146/D146/E146/I146),"VOID",ROUND(I146,-1)),"FALSE")</f>
        <v>600</v>
      </c>
      <c r="H146" s="11">
        <v>100</v>
      </c>
      <c r="I146" s="36">
        <v>600</v>
      </c>
      <c r="J146" s="36"/>
      <c r="K146" s="8"/>
      <c r="L146" s="41"/>
      <c r="M146" s="8"/>
      <c r="N146" s="8"/>
      <c r="O146" s="8"/>
      <c r="P146" s="8"/>
      <c r="Q146" s="8"/>
      <c r="R146" s="8"/>
      <c r="S146" s="73"/>
      <c r="T146" s="34">
        <f>IF(C146="","",ROUND(CHOOSE(MATCH(C146,{5,6,7,8,10,12,14,16,18,20,22,25,28,32,40},0),0.154,0.222,0.302,0.395,0.617,0.888,1.209,1.579,1.998,2.467,2.985,3.855,4.836,6.316,9.868)*D146*E146*G146/1000,3))</f>
        <v>15.548</v>
      </c>
    </row>
    <row r="147" spans="1:20" ht="26.25" customHeight="1" x14ac:dyDescent="0.2">
      <c r="A147" s="6">
        <v>1222</v>
      </c>
      <c r="B147" s="6" t="s">
        <v>27</v>
      </c>
      <c r="C147" s="7">
        <v>12</v>
      </c>
      <c r="D147" s="8">
        <v>1</v>
      </c>
      <c r="E147" s="8">
        <v>1770</v>
      </c>
      <c r="F147" s="9">
        <f t="shared" si="28"/>
        <v>1770</v>
      </c>
      <c r="G147" s="10">
        <f t="shared" si="37"/>
        <v>2630</v>
      </c>
      <c r="H147" s="11">
        <v>100</v>
      </c>
      <c r="I147" s="8">
        <v>2625</v>
      </c>
      <c r="J147" s="51"/>
      <c r="K147" s="51"/>
      <c r="L147" s="12"/>
      <c r="M147" s="8"/>
      <c r="N147" s="8"/>
      <c r="O147" s="8"/>
      <c r="P147" s="8"/>
      <c r="Q147" s="8"/>
      <c r="R147" s="8"/>
      <c r="S147" s="59"/>
      <c r="T147" s="34">
        <f>IF(C147="","",ROUND(CHOOSE(MATCH(C147,{5,6,7,8,10,12,14,16,18,20,22,25,28,32,40},0),0.154,0.222,0.302,0.395,0.617,0.888,1.209,1.579,1.998,2.467,2.985,3.855,4.836,6.316,9.868)*D147*E147*G147/1000,3))</f>
        <v>4133.7290000000003</v>
      </c>
    </row>
    <row r="148" spans="1:20" ht="26.25" customHeight="1" x14ac:dyDescent="0.2">
      <c r="A148" s="6">
        <v>1223</v>
      </c>
      <c r="B148" s="6" t="s">
        <v>27</v>
      </c>
      <c r="C148" s="7">
        <v>12</v>
      </c>
      <c r="D148" s="8">
        <v>1</v>
      </c>
      <c r="E148" s="8">
        <v>168</v>
      </c>
      <c r="F148" s="9">
        <f t="shared" ref="F148" si="38">D148*E148</f>
        <v>168</v>
      </c>
      <c r="G148" s="10">
        <f t="shared" si="37"/>
        <v>1200</v>
      </c>
      <c r="H148" s="11">
        <v>100</v>
      </c>
      <c r="I148" s="8">
        <v>1200</v>
      </c>
      <c r="J148" s="8"/>
      <c r="K148" s="8"/>
      <c r="L148" s="12"/>
      <c r="M148" s="8"/>
      <c r="N148" s="8"/>
      <c r="O148" s="8"/>
      <c r="P148" s="8"/>
      <c r="Q148" s="8"/>
      <c r="R148" s="8"/>
      <c r="S148" s="59"/>
      <c r="T148" s="34">
        <f>IF(C148="","",ROUND(CHOOSE(MATCH(C148,{5,6,7,8,10,12,14,16,18,20,22,25,28,32,40},0),0.154,0.222,0.302,0.395,0.617,0.888,1.209,1.579,1.998,2.467,2.985,3.855,4.836,6.316,9.868)*D148*E148*G148/1000,3))</f>
        <v>179.02099999999999</v>
      </c>
    </row>
    <row r="149" spans="1:20" ht="26.25" customHeight="1" x14ac:dyDescent="0.2">
      <c r="A149" s="6">
        <v>1224</v>
      </c>
      <c r="B149" s="6" t="s">
        <v>27</v>
      </c>
      <c r="C149" s="7">
        <v>12</v>
      </c>
      <c r="D149" s="8">
        <v>1</v>
      </c>
      <c r="E149" s="8">
        <v>168</v>
      </c>
      <c r="F149" s="9">
        <f t="shared" si="28"/>
        <v>168</v>
      </c>
      <c r="G149" s="10">
        <f t="shared" si="37"/>
        <v>1200</v>
      </c>
      <c r="H149" s="11">
        <v>100</v>
      </c>
      <c r="I149" s="8">
        <v>1200</v>
      </c>
      <c r="J149" s="8"/>
      <c r="K149" s="8"/>
      <c r="L149" s="12"/>
      <c r="M149" s="8"/>
      <c r="N149" s="8"/>
      <c r="O149" s="8"/>
      <c r="P149" s="8"/>
      <c r="Q149" s="8"/>
      <c r="R149" s="8"/>
      <c r="S149" s="59"/>
      <c r="T149" s="34">
        <f>IF(C149="","",ROUND(CHOOSE(MATCH(C149,{5,6,7,8,10,12,14,16,18,20,22,25,28,32,40},0),0.154,0.222,0.302,0.395,0.617,0.888,1.209,1.579,1.998,2.467,2.985,3.855,4.836,6.316,9.868)*D149*E149*G149/1000,3))</f>
        <v>179.02099999999999</v>
      </c>
    </row>
    <row r="150" spans="1:20" ht="54.75" customHeight="1" x14ac:dyDescent="0.2">
      <c r="A150" s="6">
        <v>1225</v>
      </c>
      <c r="B150" s="6" t="s">
        <v>27</v>
      </c>
      <c r="C150" s="7">
        <v>12</v>
      </c>
      <c r="D150" s="8">
        <v>1</v>
      </c>
      <c r="E150" s="8">
        <v>144</v>
      </c>
      <c r="F150" s="9">
        <f t="shared" si="28"/>
        <v>144</v>
      </c>
      <c r="G150" s="10">
        <f t="shared" si="37"/>
        <v>2930</v>
      </c>
      <c r="H150" s="11">
        <v>100</v>
      </c>
      <c r="I150" s="8">
        <v>2930</v>
      </c>
      <c r="J150" s="8"/>
      <c r="K150" s="8"/>
      <c r="L150" s="12"/>
      <c r="M150" s="8"/>
      <c r="N150" s="8"/>
      <c r="O150" s="8"/>
      <c r="P150" s="8"/>
      <c r="Q150" s="8"/>
      <c r="R150" s="8"/>
      <c r="S150" s="59"/>
      <c r="T150" s="34">
        <f>IF(C150="","",ROUND(CHOOSE(MATCH(C150,{5,6,7,8,10,12,14,16,18,20,22,25,28,32,40},0),0.154,0.222,0.302,0.395,0.617,0.888,1.209,1.579,1.998,2.467,2.985,3.855,4.836,6.316,9.868)*D150*E150*G150/1000,3))</f>
        <v>374.66500000000002</v>
      </c>
    </row>
    <row r="151" spans="1:20" ht="26.25" customHeight="1" x14ac:dyDescent="0.2">
      <c r="A151" s="6">
        <v>1226</v>
      </c>
      <c r="B151" s="6" t="s">
        <v>27</v>
      </c>
      <c r="C151" s="7">
        <v>12</v>
      </c>
      <c r="D151" s="8">
        <v>1</v>
      </c>
      <c r="E151" s="8">
        <v>156</v>
      </c>
      <c r="F151" s="9">
        <f t="shared" si="28"/>
        <v>156</v>
      </c>
      <c r="G151" s="10">
        <f t="shared" si="37"/>
        <v>1500</v>
      </c>
      <c r="H151" s="11">
        <v>100</v>
      </c>
      <c r="I151" s="8">
        <v>1500</v>
      </c>
      <c r="J151" s="8"/>
      <c r="K151" s="8"/>
      <c r="L151" s="12"/>
      <c r="M151" s="8"/>
      <c r="N151" s="8"/>
      <c r="O151" s="8"/>
      <c r="P151" s="8"/>
      <c r="Q151" s="8"/>
      <c r="R151" s="8"/>
      <c r="S151" s="59"/>
      <c r="T151" s="34">
        <f>IF(C151="","",ROUND(CHOOSE(MATCH(C151,{5,6,7,8,10,12,14,16,18,20,22,25,28,32,40},0),0.154,0.222,0.302,0.395,0.617,0.888,1.209,1.579,1.998,2.467,2.985,3.855,4.836,6.316,9.868)*D151*E151*G151/1000,3))</f>
        <v>207.792</v>
      </c>
    </row>
    <row r="152" spans="1:20" ht="26.25" customHeight="1" x14ac:dyDescent="0.2">
      <c r="A152" s="6">
        <v>1227</v>
      </c>
      <c r="B152" s="6" t="s">
        <v>27</v>
      </c>
      <c r="C152" s="7">
        <v>12</v>
      </c>
      <c r="D152" s="8">
        <v>1</v>
      </c>
      <c r="E152" s="8">
        <v>957</v>
      </c>
      <c r="F152" s="9">
        <f t="shared" si="28"/>
        <v>957</v>
      </c>
      <c r="G152" s="10">
        <f t="shared" si="37"/>
        <v>1200</v>
      </c>
      <c r="H152" s="11">
        <v>100</v>
      </c>
      <c r="I152" s="8">
        <v>1200</v>
      </c>
      <c r="J152" s="8"/>
      <c r="K152" s="8"/>
      <c r="L152" s="12"/>
      <c r="M152" s="8"/>
      <c r="N152" s="8"/>
      <c r="O152" s="8"/>
      <c r="P152" s="8"/>
      <c r="Q152" s="8"/>
      <c r="R152" s="8"/>
      <c r="S152" s="59"/>
      <c r="T152" s="34">
        <f>IF(C152="","",ROUND(CHOOSE(MATCH(C152,{5,6,7,8,10,12,14,16,18,20,22,25,28,32,40},0),0.154,0.222,0.302,0.395,0.617,0.888,1.209,1.579,1.998,2.467,2.985,3.855,4.836,6.316,9.868)*D152*E152*G152/1000,3))</f>
        <v>1019.779</v>
      </c>
    </row>
    <row r="153" spans="1:20" ht="26.25" customHeight="1" x14ac:dyDescent="0.2">
      <c r="A153" s="6">
        <v>1229</v>
      </c>
      <c r="B153" s="6" t="s">
        <v>27</v>
      </c>
      <c r="C153" s="7">
        <v>12</v>
      </c>
      <c r="D153" s="8">
        <v>1</v>
      </c>
      <c r="E153" s="8">
        <v>312</v>
      </c>
      <c r="F153" s="9">
        <f t="shared" si="28"/>
        <v>312</v>
      </c>
      <c r="G153" s="10">
        <f t="shared" si="37"/>
        <v>2000</v>
      </c>
      <c r="H153" s="11">
        <v>100</v>
      </c>
      <c r="I153" s="8">
        <v>2000</v>
      </c>
      <c r="J153" s="8"/>
      <c r="K153" s="8"/>
      <c r="L153" s="52"/>
      <c r="M153" s="8"/>
      <c r="N153" s="8"/>
      <c r="O153" s="8"/>
      <c r="P153" s="8"/>
      <c r="Q153" s="8"/>
      <c r="R153" s="8"/>
      <c r="S153" s="59"/>
      <c r="T153" s="34">
        <f>IF(C153="","",ROUND(CHOOSE(MATCH(C153,{5,6,7,8,10,12,14,16,18,20,22,25,28,32,40},0),0.154,0.222,0.302,0.395,0.617,0.888,1.209,1.579,1.998,2.467,2.985,3.855,4.836,6.316,9.868)*D153*E153*G153/1000,3))</f>
        <v>554.11199999999997</v>
      </c>
    </row>
    <row r="154" spans="1:20" ht="26.25" customHeight="1" x14ac:dyDescent="0.2">
      <c r="A154" s="6">
        <v>1230</v>
      </c>
      <c r="B154" s="6" t="s">
        <v>27</v>
      </c>
      <c r="C154" s="7">
        <v>12</v>
      </c>
      <c r="D154" s="8">
        <v>1</v>
      </c>
      <c r="E154" s="8">
        <v>56</v>
      </c>
      <c r="F154" s="9">
        <f t="shared" si="28"/>
        <v>56</v>
      </c>
      <c r="G154" s="10">
        <f>IF(H154=115,IF(ISERROR(0/C154/D154/E154/I154/J154/K154),"VOID",ROUND(I154+0.57*J154+K154-1.6*C154,-1)),"FALSE")</f>
        <v>3870</v>
      </c>
      <c r="H154" s="11">
        <v>115</v>
      </c>
      <c r="I154" s="8">
        <v>3225</v>
      </c>
      <c r="J154" s="8">
        <v>110</v>
      </c>
      <c r="K154" s="36">
        <v>600</v>
      </c>
      <c r="L154" s="12"/>
      <c r="M154" s="37"/>
      <c r="N154" s="8"/>
      <c r="O154" s="8"/>
      <c r="P154" s="8"/>
      <c r="Q154" s="8"/>
      <c r="R154" s="8"/>
      <c r="S154" s="59"/>
      <c r="T154" s="34">
        <f>IF(C154="","",ROUND(CHOOSE(MATCH(C154,{5,6,7,8,10,12,14,16,18,20,22,25,28,32,40},0),0.154,0.222,0.302,0.395,0.617,0.888,1.209,1.579,1.998,2.467,2.985,3.855,4.836,6.316,9.868)*D154*E154*G154/1000,3))</f>
        <v>192.447</v>
      </c>
    </row>
    <row r="155" spans="1:20" ht="26.25" customHeight="1" x14ac:dyDescent="0.2">
      <c r="A155" s="6">
        <v>1031</v>
      </c>
      <c r="B155" s="6" t="s">
        <v>27</v>
      </c>
      <c r="C155" s="7">
        <v>10</v>
      </c>
      <c r="D155" s="8">
        <v>1</v>
      </c>
      <c r="E155" s="8">
        <v>188</v>
      </c>
      <c r="F155" s="9">
        <f t="shared" si="28"/>
        <v>188</v>
      </c>
      <c r="G155" s="10">
        <f t="shared" ref="G155:G165" si="39">IF(H155=100,IF(ISERROR(0/C155/D155/E155/I155),"VOID",ROUND(I155,-1)),"FALSE")</f>
        <v>5500</v>
      </c>
      <c r="H155" s="11">
        <v>100</v>
      </c>
      <c r="I155" s="8">
        <v>5500</v>
      </c>
      <c r="J155" s="8"/>
      <c r="K155" s="8"/>
      <c r="L155" s="12"/>
      <c r="M155" s="8"/>
      <c r="N155" s="8"/>
      <c r="O155" s="8"/>
      <c r="P155" s="8"/>
      <c r="Q155" s="8"/>
      <c r="R155" s="8"/>
      <c r="S155" s="59"/>
      <c r="T155" s="34">
        <f>IF(C155="","",ROUND(CHOOSE(MATCH(C155,{5,6,7,8,10,12,14,16,18,20,22,25,28,32,40},0),0.154,0.222,0.302,0.395,0.617,0.888,1.209,1.579,1.998,2.467,2.985,3.855,4.836,6.316,9.868)*D155*E155*G155/1000,3))</f>
        <v>637.97799999999995</v>
      </c>
    </row>
    <row r="156" spans="1:20" ht="26.25" customHeight="1" x14ac:dyDescent="0.2">
      <c r="A156" s="6">
        <v>1032</v>
      </c>
      <c r="B156" s="6" t="s">
        <v>27</v>
      </c>
      <c r="C156" s="7">
        <v>10</v>
      </c>
      <c r="D156" s="8">
        <v>1</v>
      </c>
      <c r="E156" s="8">
        <v>240</v>
      </c>
      <c r="F156" s="9">
        <f t="shared" si="28"/>
        <v>240</v>
      </c>
      <c r="G156" s="10">
        <f t="shared" si="39"/>
        <v>4800</v>
      </c>
      <c r="H156" s="11">
        <v>100</v>
      </c>
      <c r="I156" s="8">
        <v>4800</v>
      </c>
      <c r="J156" s="50"/>
      <c r="K156" s="50"/>
      <c r="L156" s="12"/>
      <c r="M156" s="8"/>
      <c r="N156" s="8"/>
      <c r="O156" s="8"/>
      <c r="P156" s="8"/>
      <c r="Q156" s="8"/>
      <c r="R156" s="8"/>
      <c r="S156" s="35"/>
      <c r="T156" s="34">
        <f>IF(C156="","",ROUND(CHOOSE(MATCH(C156,{5,6,7,8,10,12,14,16,18,20,22,25,28,32,40},0),0.154,0.222,0.302,0.395,0.617,0.888,1.209,1.579,1.998,2.467,2.985,3.855,4.836,6.316,9.868)*D156*E156*G156/1000,3))</f>
        <v>710.78399999999999</v>
      </c>
    </row>
    <row r="157" spans="1:20" ht="26.25" customHeight="1" x14ac:dyDescent="0.2">
      <c r="A157" s="6">
        <v>1033</v>
      </c>
      <c r="B157" s="6" t="s">
        <v>27</v>
      </c>
      <c r="C157" s="7">
        <v>10</v>
      </c>
      <c r="D157" s="8">
        <v>1</v>
      </c>
      <c r="E157" s="8">
        <v>54</v>
      </c>
      <c r="F157" s="9">
        <f t="shared" ref="F157:F166" si="40">D157*E157</f>
        <v>54</v>
      </c>
      <c r="G157" s="10">
        <f t="shared" si="39"/>
        <v>4430</v>
      </c>
      <c r="H157" s="11">
        <v>100</v>
      </c>
      <c r="I157" s="36">
        <v>4425</v>
      </c>
      <c r="J157" s="36"/>
      <c r="K157" s="8"/>
      <c r="L157" s="41"/>
      <c r="M157" s="8"/>
      <c r="N157" s="8"/>
      <c r="O157" s="8"/>
      <c r="P157" s="8"/>
      <c r="Q157" s="8"/>
      <c r="R157" s="8"/>
      <c r="S157" s="59"/>
      <c r="T157" s="34">
        <f>IF(C157="","",ROUND(CHOOSE(MATCH(C157,{5,6,7,8,10,12,14,16,18,20,22,25,28,32,40},0),0.154,0.222,0.302,0.395,0.617,0.888,1.209,1.579,1.998,2.467,2.985,3.855,4.836,6.316,9.868)*D157*E157*G157/1000,3))</f>
        <v>147.59899999999999</v>
      </c>
    </row>
    <row r="158" spans="1:20" ht="26.25" customHeight="1" x14ac:dyDescent="0.2">
      <c r="A158" s="6">
        <v>1034</v>
      </c>
      <c r="B158" s="6" t="s">
        <v>27</v>
      </c>
      <c r="C158" s="7">
        <v>10</v>
      </c>
      <c r="D158" s="8">
        <v>1</v>
      </c>
      <c r="E158" s="8">
        <v>231</v>
      </c>
      <c r="F158" s="9">
        <f t="shared" si="40"/>
        <v>231</v>
      </c>
      <c r="G158" s="10">
        <f t="shared" si="39"/>
        <v>7200</v>
      </c>
      <c r="H158" s="11">
        <v>100</v>
      </c>
      <c r="I158" s="8">
        <v>7200</v>
      </c>
      <c r="J158" s="51"/>
      <c r="K158" s="51"/>
      <c r="L158" s="12"/>
      <c r="M158" s="8"/>
      <c r="N158" s="8"/>
      <c r="O158" s="8"/>
      <c r="P158" s="8"/>
      <c r="Q158" s="8"/>
      <c r="R158" s="8"/>
      <c r="S158" s="35"/>
      <c r="T158" s="34">
        <f>IF(C158="","",ROUND(CHOOSE(MATCH(C158,{5,6,7,8,10,12,14,16,18,20,22,25,28,32,40},0),0.154,0.222,0.302,0.395,0.617,0.888,1.209,1.579,1.998,2.467,2.985,3.855,4.836,6.316,9.868)*D158*E158*G158/1000,3))</f>
        <v>1026.194</v>
      </c>
    </row>
    <row r="159" spans="1:20" ht="26.25" customHeight="1" x14ac:dyDescent="0.2">
      <c r="A159" s="6">
        <v>1035</v>
      </c>
      <c r="B159" s="6" t="s">
        <v>27</v>
      </c>
      <c r="C159" s="7">
        <v>10</v>
      </c>
      <c r="D159" s="8">
        <v>1</v>
      </c>
      <c r="E159" s="8">
        <v>54</v>
      </c>
      <c r="F159" s="9">
        <f t="shared" si="40"/>
        <v>54</v>
      </c>
      <c r="G159" s="10">
        <f t="shared" si="39"/>
        <v>4430</v>
      </c>
      <c r="H159" s="11">
        <v>100</v>
      </c>
      <c r="I159" s="8">
        <v>4425</v>
      </c>
      <c r="J159" s="8"/>
      <c r="K159" s="8"/>
      <c r="L159" s="12"/>
      <c r="M159" s="8"/>
      <c r="N159" s="8"/>
      <c r="O159" s="8"/>
      <c r="P159" s="8"/>
      <c r="Q159" s="8"/>
      <c r="R159" s="8"/>
      <c r="S159" s="59"/>
      <c r="T159" s="34">
        <f>IF(C159="","",ROUND(CHOOSE(MATCH(C159,{5,6,7,8,10,12,14,16,18,20,22,25,28,32,40},0),0.154,0.222,0.302,0.395,0.617,0.888,1.209,1.579,1.998,2.467,2.985,3.855,4.836,6.316,9.868)*D159*E159*G159/1000,3))</f>
        <v>147.59899999999999</v>
      </c>
    </row>
    <row r="160" spans="1:20" ht="26.25" customHeight="1" x14ac:dyDescent="0.2">
      <c r="A160" s="6">
        <v>1036</v>
      </c>
      <c r="B160" s="6" t="s">
        <v>27</v>
      </c>
      <c r="C160" s="7">
        <v>10</v>
      </c>
      <c r="D160" s="8">
        <v>1</v>
      </c>
      <c r="E160" s="8">
        <v>161</v>
      </c>
      <c r="F160" s="9">
        <f t="shared" si="40"/>
        <v>161</v>
      </c>
      <c r="G160" s="10">
        <f t="shared" si="39"/>
        <v>13640</v>
      </c>
      <c r="H160" s="11">
        <v>100</v>
      </c>
      <c r="I160" s="8">
        <v>13637</v>
      </c>
      <c r="J160" s="8"/>
      <c r="K160" s="8"/>
      <c r="L160" s="12"/>
      <c r="M160" s="8"/>
      <c r="N160" s="8"/>
      <c r="O160" s="8"/>
      <c r="P160" s="8"/>
      <c r="Q160" s="8"/>
      <c r="R160" s="8"/>
      <c r="S160" s="59"/>
      <c r="T160" s="34">
        <f>IF(C160="","",ROUND(CHOOSE(MATCH(C160,{5,6,7,8,10,12,14,16,18,20,22,25,28,32,40},0),0.154,0.222,0.302,0.395,0.617,0.888,1.209,1.579,1.998,2.467,2.985,3.855,4.836,6.316,9.868)*D160*E160*G160/1000,3))</f>
        <v>1354.9570000000001</v>
      </c>
    </row>
    <row r="161" spans="1:20" ht="26.25" customHeight="1" x14ac:dyDescent="0.2">
      <c r="A161" s="6">
        <v>1037</v>
      </c>
      <c r="B161" s="6" t="s">
        <v>27</v>
      </c>
      <c r="C161" s="7">
        <v>10</v>
      </c>
      <c r="D161" s="8">
        <v>1</v>
      </c>
      <c r="E161" s="8">
        <v>51</v>
      </c>
      <c r="F161" s="9">
        <f t="shared" si="40"/>
        <v>51</v>
      </c>
      <c r="G161" s="10">
        <f t="shared" si="39"/>
        <v>3230</v>
      </c>
      <c r="H161" s="11">
        <v>100</v>
      </c>
      <c r="I161" s="8">
        <v>3225</v>
      </c>
      <c r="J161" s="50"/>
      <c r="K161" s="50"/>
      <c r="L161" s="12"/>
      <c r="M161" s="8"/>
      <c r="N161" s="8"/>
      <c r="O161" s="8"/>
      <c r="P161" s="8"/>
      <c r="Q161" s="8"/>
      <c r="R161" s="8"/>
      <c r="S161" s="59"/>
      <c r="T161" s="34">
        <f>IF(C161="","",ROUND(CHOOSE(MATCH(C161,{5,6,7,8,10,12,14,16,18,20,22,25,28,32,40},0),0.154,0.222,0.302,0.395,0.617,0.888,1.209,1.579,1.998,2.467,2.985,3.855,4.836,6.316,9.868)*D161*E161*G161/1000,3))</f>
        <v>101.63800000000001</v>
      </c>
    </row>
    <row r="162" spans="1:20" ht="61.5" customHeight="1" x14ac:dyDescent="0.2">
      <c r="A162" s="6">
        <v>1039</v>
      </c>
      <c r="B162" s="6" t="s">
        <v>27</v>
      </c>
      <c r="C162" s="7">
        <v>10</v>
      </c>
      <c r="D162" s="8">
        <v>1</v>
      </c>
      <c r="E162" s="8">
        <v>768</v>
      </c>
      <c r="F162" s="9">
        <f t="shared" si="40"/>
        <v>768</v>
      </c>
      <c r="G162" s="10">
        <f t="shared" si="39"/>
        <v>18600</v>
      </c>
      <c r="H162" s="11">
        <v>100</v>
      </c>
      <c r="I162" s="36">
        <v>18600</v>
      </c>
      <c r="J162" s="36"/>
      <c r="K162" s="8"/>
      <c r="L162" s="41"/>
      <c r="M162" s="8"/>
      <c r="N162" s="8"/>
      <c r="O162" s="8"/>
      <c r="P162" s="8"/>
      <c r="Q162" s="8"/>
      <c r="R162" s="8"/>
      <c r="S162" s="59"/>
      <c r="T162" s="34">
        <f>IF(C162="","",ROUND(CHOOSE(MATCH(C162,{5,6,7,8,10,12,14,16,18,20,22,25,28,32,40},0),0.154,0.222,0.302,0.395,0.617,0.888,1.209,1.579,1.998,2.467,2.985,3.855,4.836,6.316,9.868)*D162*E162*G162/1000,3))</f>
        <v>8813.7219999999998</v>
      </c>
    </row>
    <row r="163" spans="1:20" ht="27.75" customHeight="1" x14ac:dyDescent="0.2">
      <c r="A163" s="6">
        <v>1040</v>
      </c>
      <c r="B163" s="6" t="s">
        <v>27</v>
      </c>
      <c r="C163" s="7">
        <v>10</v>
      </c>
      <c r="D163" s="8">
        <v>1</v>
      </c>
      <c r="E163" s="8">
        <v>120</v>
      </c>
      <c r="F163" s="9">
        <f t="shared" si="40"/>
        <v>120</v>
      </c>
      <c r="G163" s="10">
        <f t="shared" si="39"/>
        <v>2010</v>
      </c>
      <c r="H163" s="11">
        <v>100</v>
      </c>
      <c r="I163" s="8">
        <v>2013</v>
      </c>
      <c r="J163" s="50"/>
      <c r="K163" s="50"/>
      <c r="L163" s="52"/>
      <c r="M163" s="8"/>
      <c r="N163" s="8"/>
      <c r="O163" s="8"/>
      <c r="P163" s="8"/>
      <c r="Q163" s="8"/>
      <c r="R163" s="8"/>
      <c r="S163" s="59"/>
      <c r="T163" s="34">
        <f>IF(C163="","",ROUND(CHOOSE(MATCH(C163,{5,6,7,8,10,12,14,16,18,20,22,25,28,32,40},0),0.154,0.222,0.302,0.395,0.617,0.888,1.209,1.579,1.998,2.467,2.985,3.855,4.836,6.316,9.868)*D163*E163*G163/1000,3))</f>
        <v>148.82</v>
      </c>
    </row>
    <row r="164" spans="1:20" ht="26.25" customHeight="1" x14ac:dyDescent="0.2">
      <c r="A164" s="6">
        <v>1250</v>
      </c>
      <c r="B164" s="6" t="s">
        <v>27</v>
      </c>
      <c r="C164" s="7">
        <v>12</v>
      </c>
      <c r="D164" s="8">
        <v>1</v>
      </c>
      <c r="E164" s="8">
        <v>83</v>
      </c>
      <c r="F164" s="9">
        <f t="shared" ref="F164:F165" si="41">D164*E164</f>
        <v>83</v>
      </c>
      <c r="G164" s="10">
        <f t="shared" si="39"/>
        <v>1500</v>
      </c>
      <c r="H164" s="11">
        <v>100</v>
      </c>
      <c r="I164" s="36">
        <v>1500</v>
      </c>
      <c r="J164" s="55"/>
      <c r="K164" s="55"/>
      <c r="L164" s="52"/>
      <c r="M164" s="37"/>
      <c r="N164" s="8"/>
      <c r="O164" s="8"/>
      <c r="P164" s="8"/>
      <c r="Q164" s="8"/>
      <c r="R164" s="8"/>
      <c r="S164" s="59"/>
      <c r="T164" s="34">
        <f>IF(C164="","",ROUND(CHOOSE(MATCH(C164,{5,6,7,8,10,12,14,16,18,20,22,25,28,32,40},0),0.154,0.222,0.302,0.395,0.617,0.888,1.209,1.579,1.998,2.467,2.985,3.855,4.836,6.316,9.868)*D164*E164*G164/1000,3))</f>
        <v>110.556</v>
      </c>
    </row>
    <row r="165" spans="1:20" ht="26.25" customHeight="1" x14ac:dyDescent="0.2">
      <c r="A165" s="6">
        <v>1251</v>
      </c>
      <c r="B165" s="6" t="s">
        <v>27</v>
      </c>
      <c r="C165" s="7">
        <v>12</v>
      </c>
      <c r="D165" s="8">
        <v>1</v>
      </c>
      <c r="E165" s="8">
        <v>83</v>
      </c>
      <c r="F165" s="9">
        <f t="shared" si="41"/>
        <v>83</v>
      </c>
      <c r="G165" s="10">
        <f t="shared" si="39"/>
        <v>1500</v>
      </c>
      <c r="H165" s="11">
        <v>100</v>
      </c>
      <c r="I165" s="36">
        <v>1500</v>
      </c>
      <c r="J165" s="36"/>
      <c r="K165" s="36"/>
      <c r="L165" s="12"/>
      <c r="M165" s="37"/>
      <c r="N165" s="8"/>
      <c r="O165" s="8"/>
      <c r="P165" s="8"/>
      <c r="Q165" s="8"/>
      <c r="R165" s="8"/>
      <c r="S165" s="59"/>
      <c r="T165" s="34">
        <f>IF(C165="","",ROUND(CHOOSE(MATCH(C165,{5,6,7,8,10,12,14,16,18,20,22,25,28,32,40},0),0.154,0.222,0.302,0.395,0.617,0.888,1.209,1.579,1.998,2.467,2.985,3.855,4.836,6.316,9.868)*D165*E165*G165/1000,3))</f>
        <v>110.556</v>
      </c>
    </row>
    <row r="166" spans="1:20" ht="26.25" customHeight="1" x14ac:dyDescent="0.2">
      <c r="A166" s="6">
        <v>1280</v>
      </c>
      <c r="B166" s="6" t="s">
        <v>27</v>
      </c>
      <c r="C166" s="7">
        <v>12</v>
      </c>
      <c r="D166" s="8">
        <v>1</v>
      </c>
      <c r="E166" s="8">
        <v>51</v>
      </c>
      <c r="F166" s="9">
        <f t="shared" si="40"/>
        <v>51</v>
      </c>
      <c r="G166" s="10">
        <f>IF(H166=233,IF(ISERROR(0/C166/D166/E166/I166/J166/K166/L166),"VOID",ROUND(I166+1.14*J166+K166+L166-3.14*C166,-1)),"FALSE")</f>
        <v>3300</v>
      </c>
      <c r="H166" s="11">
        <v>233</v>
      </c>
      <c r="I166" s="8">
        <v>2013</v>
      </c>
      <c r="J166" s="51">
        <v>110</v>
      </c>
      <c r="K166" s="51">
        <v>600</v>
      </c>
      <c r="L166" s="60">
        <v>600</v>
      </c>
      <c r="M166" s="8"/>
      <c r="N166" s="8"/>
      <c r="O166" s="8"/>
      <c r="P166" s="8"/>
      <c r="Q166" s="8"/>
      <c r="R166" s="8"/>
      <c r="S166" s="33"/>
      <c r="T166" s="34">
        <f>IF(C166="","",ROUND(CHOOSE(MATCH(C166,{5,6,7,8,10,12,14,16,18,20,22,25,28,32,40},0),0.154,0.222,0.302,0.395,0.617,0.888,1.209,1.579,1.998,2.467,2.985,3.855,4.836,6.316,9.868)*D166*E166*G166/1000,3))</f>
        <v>149.44999999999999</v>
      </c>
    </row>
    <row r="167" spans="1:20" ht="61.5" customHeight="1" x14ac:dyDescent="0.2">
      <c r="A167" s="6">
        <v>1620</v>
      </c>
      <c r="B167" s="6" t="s">
        <v>100</v>
      </c>
      <c r="C167" s="7">
        <v>16</v>
      </c>
      <c r="D167" s="8">
        <v>1</v>
      </c>
      <c r="E167" s="8">
        <v>76</v>
      </c>
      <c r="F167" s="9">
        <f t="shared" ref="F167" si="42">D167*E167</f>
        <v>76</v>
      </c>
      <c r="G167" s="10">
        <f>IF(H167=233,IF(ISERROR(0/C167/D167/E167/I167/J167/K167/L167),"VOID",ROUND(I167+1.14*J167+K167+L167-3.14*C167,-1)),"FALSE")</f>
        <v>4130</v>
      </c>
      <c r="H167" s="11">
        <v>233</v>
      </c>
      <c r="I167" s="8">
        <v>2850</v>
      </c>
      <c r="J167" s="8">
        <v>110</v>
      </c>
      <c r="K167" s="8">
        <v>600</v>
      </c>
      <c r="L167" s="12">
        <v>600</v>
      </c>
      <c r="M167" s="8"/>
      <c r="N167" s="8"/>
      <c r="O167" s="8"/>
      <c r="P167" s="8"/>
      <c r="Q167" s="8"/>
      <c r="R167" s="8"/>
      <c r="S167" s="33"/>
      <c r="T167" s="34">
        <f>IF(C167="","",ROUND(CHOOSE(MATCH(C167,{5,6,7,8,10,12,14,16,18,20,22,25,28,32,40},0),0.154,0.222,0.302,0.395,0.617,0.888,1.209,1.579,1.998,2.467,2.985,3.855,4.836,6.316,9.868)*D167*E167*G167/1000,3))</f>
        <v>495.61700000000002</v>
      </c>
    </row>
    <row r="168" spans="1:20" ht="26.25" customHeight="1" x14ac:dyDescent="0.2">
      <c r="A168" s="42"/>
      <c r="B168" s="42"/>
      <c r="C168" s="43"/>
      <c r="D168" s="44"/>
      <c r="E168" s="44"/>
      <c r="F168" s="45"/>
      <c r="G168" s="29"/>
      <c r="H168" s="46"/>
      <c r="I168" s="44"/>
      <c r="J168" s="44"/>
      <c r="K168" s="44"/>
      <c r="L168" s="47"/>
      <c r="M168" s="44"/>
      <c r="N168" s="44"/>
      <c r="O168" s="44"/>
      <c r="P168" s="44"/>
      <c r="Q168" s="44"/>
      <c r="R168" s="44"/>
      <c r="S168" s="48"/>
      <c r="T168" s="49"/>
    </row>
    <row r="169" spans="1:20" ht="26.25" customHeight="1" x14ac:dyDescent="0.2">
      <c r="A169" s="6">
        <v>2001</v>
      </c>
      <c r="B169" s="6" t="s">
        <v>64</v>
      </c>
      <c r="C169" s="7">
        <v>20</v>
      </c>
      <c r="D169" s="8">
        <v>1</v>
      </c>
      <c r="E169" s="8">
        <v>4</v>
      </c>
      <c r="F169" s="9">
        <f t="shared" ref="F169:F173" si="43">D169*E169</f>
        <v>4</v>
      </c>
      <c r="G169" s="10">
        <f>IF(H169=111,IF(ISERROR(0/C169/D169/E169/I169/J169),"VOID",ROUND(I169+J169-IF(C169&lt;20,1.25*C169,1.75*C169),-1)),"FALSE")</f>
        <v>4320</v>
      </c>
      <c r="H169" s="11">
        <v>111</v>
      </c>
      <c r="I169" s="8">
        <v>150</v>
      </c>
      <c r="J169" s="36">
        <v>4200</v>
      </c>
      <c r="K169" s="36"/>
      <c r="L169" s="38"/>
      <c r="M169" s="8"/>
      <c r="N169" s="37"/>
      <c r="O169" s="8"/>
      <c r="P169" s="8"/>
      <c r="Q169" s="8"/>
      <c r="R169" s="8"/>
      <c r="S169" s="73"/>
      <c r="T169" s="34">
        <f>IF(C169="","",ROUND(CHOOSE(MATCH(C169,{5,6,7,8,10,12,14,16,18,20,22,25,28,32,40},0),0.154,0.222,0.302,0.395,0.617,0.888,1.209,1.579,1.998,2.467,2.985,3.855,4.836,6.316,9.868)*D169*E169*G169/1000,3))</f>
        <v>42.63</v>
      </c>
    </row>
    <row r="170" spans="1:20" ht="26.25" customHeight="1" x14ac:dyDescent="0.2">
      <c r="A170" s="6">
        <v>1602</v>
      </c>
      <c r="B170" s="6" t="s">
        <v>64</v>
      </c>
      <c r="C170" s="7">
        <v>16</v>
      </c>
      <c r="D170" s="8">
        <v>1</v>
      </c>
      <c r="E170" s="8">
        <v>2</v>
      </c>
      <c r="F170" s="9">
        <f t="shared" si="43"/>
        <v>2</v>
      </c>
      <c r="G170" s="10">
        <f>IF(H170=310,IF(ISERROR(0/C170/D170/E170/I170/J170/K170/M170),"VOID",ROUND(I170+J170+K170+M170-IF(C170&lt;20,1.25*C170,1.75*C170),-1)),"FALSE")</f>
        <v>3730</v>
      </c>
      <c r="H170" s="11">
        <v>310</v>
      </c>
      <c r="I170" s="36">
        <v>500</v>
      </c>
      <c r="J170" s="36">
        <v>300</v>
      </c>
      <c r="K170" s="8">
        <v>2800</v>
      </c>
      <c r="L170" s="41">
        <v>50</v>
      </c>
      <c r="M170" s="8">
        <v>150</v>
      </c>
      <c r="N170" s="8"/>
      <c r="O170" s="8"/>
      <c r="P170" s="8"/>
      <c r="Q170" s="8"/>
      <c r="R170" s="8"/>
      <c r="S170" s="33"/>
      <c r="T170" s="34">
        <f>IF(C170="","",ROUND(CHOOSE(MATCH(C170,{5,6,7,8,10,12,14,16,18,20,22,25,28,32,40},0),0.154,0.222,0.302,0.395,0.617,0.888,1.209,1.579,1.998,2.467,2.985,3.855,4.836,6.316,9.868)*D170*E170*G170/1000,3))</f>
        <v>11.779</v>
      </c>
    </row>
    <row r="171" spans="1:20" ht="26.25" customHeight="1" x14ac:dyDescent="0.2">
      <c r="A171" s="6">
        <v>1603</v>
      </c>
      <c r="B171" s="6" t="s">
        <v>64</v>
      </c>
      <c r="C171" s="7">
        <v>16</v>
      </c>
      <c r="D171" s="8">
        <v>1</v>
      </c>
      <c r="E171" s="8">
        <v>2</v>
      </c>
      <c r="F171" s="9">
        <f t="shared" ref="F171" si="44">D171*E171</f>
        <v>2</v>
      </c>
      <c r="G171" s="10">
        <f>IF(H171=310,IF(ISERROR(0/C171/D171/E171/I171/J171/K171/M171),"VOID",ROUND(I171+J171+K171+M171-IF(C171&lt;20,1.25*C171,1.75*C171),-1)),"FALSE")</f>
        <v>2130</v>
      </c>
      <c r="H171" s="11">
        <v>310</v>
      </c>
      <c r="I171" s="36">
        <v>500</v>
      </c>
      <c r="J171" s="36">
        <v>300</v>
      </c>
      <c r="K171" s="50">
        <v>1200</v>
      </c>
      <c r="L171" s="54">
        <v>50</v>
      </c>
      <c r="M171" s="50">
        <v>150</v>
      </c>
      <c r="N171" s="8"/>
      <c r="O171" s="8"/>
      <c r="P171" s="8"/>
      <c r="Q171" s="8"/>
      <c r="R171" s="8"/>
      <c r="S171" s="33"/>
      <c r="T171" s="34">
        <f>IF(C171="","",ROUND(CHOOSE(MATCH(C171,{5,6,7,8,10,12,14,16,18,20,22,25,28,32,40},0),0.154,0.222,0.302,0.395,0.617,0.888,1.209,1.579,1.998,2.467,2.985,3.855,4.836,6.316,9.868)*D171*E171*G171/1000,3))</f>
        <v>6.7270000000000003</v>
      </c>
    </row>
    <row r="172" spans="1:20" ht="26.25" customHeight="1" x14ac:dyDescent="0.2">
      <c r="A172" s="6">
        <v>1604</v>
      </c>
      <c r="B172" s="6" t="s">
        <v>64</v>
      </c>
      <c r="C172" s="7">
        <v>16</v>
      </c>
      <c r="D172" s="8">
        <v>1</v>
      </c>
      <c r="E172" s="8">
        <v>2</v>
      </c>
      <c r="F172" s="9">
        <f t="shared" ref="F172" si="45">D172*E172</f>
        <v>2</v>
      </c>
      <c r="G172" s="10">
        <f>IF(H172=111,IF(ISERROR(0/C172/D172/E172/I172/J172),"VOID",ROUND(I172+J172-IF(C172&lt;20,1.25*C172,1.75*C172),-1)),"FALSE")</f>
        <v>5930</v>
      </c>
      <c r="H172" s="11">
        <v>111</v>
      </c>
      <c r="I172" s="36">
        <v>150</v>
      </c>
      <c r="J172" s="36">
        <v>5800</v>
      </c>
      <c r="K172" s="36"/>
      <c r="L172" s="38"/>
      <c r="M172" s="8"/>
      <c r="N172" s="37"/>
      <c r="O172" s="8"/>
      <c r="P172" s="8"/>
      <c r="Q172" s="8"/>
      <c r="R172" s="8"/>
      <c r="S172" s="73"/>
      <c r="T172" s="34">
        <f>IF(C172="","",ROUND(CHOOSE(MATCH(C172,{5,6,7,8,10,12,14,16,18,20,22,25,28,32,40},0),0.154,0.222,0.302,0.395,0.617,0.888,1.209,1.579,1.998,2.467,2.985,3.855,4.836,6.316,9.868)*D172*E172*G172/1000,3))</f>
        <v>18.727</v>
      </c>
    </row>
    <row r="173" spans="1:20" ht="26.25" customHeight="1" x14ac:dyDescent="0.2">
      <c r="A173" s="6">
        <v>1005</v>
      </c>
      <c r="B173" s="6" t="s">
        <v>64</v>
      </c>
      <c r="C173" s="7">
        <v>10</v>
      </c>
      <c r="D173" s="8">
        <v>1</v>
      </c>
      <c r="E173" s="8">
        <v>28</v>
      </c>
      <c r="F173" s="9">
        <f t="shared" si="43"/>
        <v>28</v>
      </c>
      <c r="G173" s="10">
        <f>IF(H173=500,IF(ISERROR(0/C173/D173/E173/I173/J173/K173),"VOID",ROUND(2*(I173+J173+K173)-IF(C173&lt;20,6.25*C173,8.75*C173),-1)),"FALSE")</f>
        <v>1150</v>
      </c>
      <c r="H173" s="11">
        <v>500</v>
      </c>
      <c r="I173" s="36">
        <v>175</v>
      </c>
      <c r="J173" s="36">
        <v>300</v>
      </c>
      <c r="K173" s="77">
        <v>130</v>
      </c>
      <c r="L173" s="78"/>
      <c r="M173" s="77"/>
      <c r="N173" s="8"/>
      <c r="O173" s="8"/>
      <c r="P173" s="8"/>
      <c r="Q173" s="8"/>
      <c r="R173" s="8"/>
      <c r="S173" s="62"/>
      <c r="T173" s="34">
        <f>IF(C173="","",ROUND(CHOOSE(MATCH(C173,{5,6,7,8,10,12,14,16,18,20,22,25,28,32,40},0),0.154,0.222,0.302,0.395,0.617,0.888,1.209,1.579,1.998,2.467,2.985,3.855,4.836,6.316,9.868)*D173*E173*G173/1000,3))</f>
        <v>19.867000000000001</v>
      </c>
    </row>
    <row r="174" spans="1:20" ht="26.25" customHeight="1" x14ac:dyDescent="0.2">
      <c r="A174" s="6">
        <v>2006</v>
      </c>
      <c r="B174" s="6" t="s">
        <v>65</v>
      </c>
      <c r="C174" s="7">
        <v>20</v>
      </c>
      <c r="D174" s="8">
        <v>1</v>
      </c>
      <c r="E174" s="8">
        <v>4</v>
      </c>
      <c r="F174" s="9">
        <f t="shared" ref="F174:F201" si="46">D174*E174</f>
        <v>4</v>
      </c>
      <c r="G174" s="10">
        <f>IF(H174=111,IF(ISERROR(0/C174/D174/E174/I174/J174),"VOID",ROUND(I174+J174-IF(C174&lt;20,1.25*C174,1.75*C174),-1)),"FALSE")</f>
        <v>4320</v>
      </c>
      <c r="H174" s="11">
        <v>111</v>
      </c>
      <c r="I174" s="8">
        <v>150</v>
      </c>
      <c r="J174" s="55">
        <v>4200</v>
      </c>
      <c r="K174" s="55"/>
      <c r="L174" s="57"/>
      <c r="M174" s="50"/>
      <c r="N174" s="37"/>
      <c r="O174" s="8"/>
      <c r="P174" s="8"/>
      <c r="Q174" s="8"/>
      <c r="R174" s="8"/>
      <c r="S174" s="73"/>
      <c r="T174" s="34">
        <f>IF(C174="","",ROUND(CHOOSE(MATCH(C174,{5,6,7,8,10,12,14,16,18,20,22,25,28,32,40},0),0.154,0.222,0.302,0.395,0.617,0.888,1.209,1.579,1.998,2.467,2.985,3.855,4.836,6.316,9.868)*D174*E174*G174/1000,3))</f>
        <v>42.63</v>
      </c>
    </row>
    <row r="175" spans="1:20" ht="26.25" customHeight="1" x14ac:dyDescent="0.2">
      <c r="A175" s="6">
        <v>2007</v>
      </c>
      <c r="B175" s="6" t="s">
        <v>65</v>
      </c>
      <c r="C175" s="7">
        <v>20</v>
      </c>
      <c r="D175" s="8">
        <v>1</v>
      </c>
      <c r="E175" s="8">
        <v>2</v>
      </c>
      <c r="F175" s="9">
        <f t="shared" si="46"/>
        <v>2</v>
      </c>
      <c r="G175" s="10">
        <f>IF(H175=100,IF(ISERROR(0/C175/D175/E175/I175),"VOID",ROUND(I175,-1)),"FALSE")</f>
        <v>4200</v>
      </c>
      <c r="H175" s="11">
        <v>100</v>
      </c>
      <c r="I175" s="36">
        <v>4200</v>
      </c>
      <c r="J175" s="36"/>
      <c r="K175" s="36"/>
      <c r="L175" s="38"/>
      <c r="M175" s="8"/>
      <c r="N175" s="37"/>
      <c r="O175" s="8"/>
      <c r="P175" s="8"/>
      <c r="Q175" s="8"/>
      <c r="R175" s="8"/>
      <c r="S175" s="73"/>
      <c r="T175" s="34">
        <f>IF(C175="","",ROUND(CHOOSE(MATCH(C175,{5,6,7,8,10,12,14,16,18,20,22,25,28,32,40},0),0.154,0.222,0.302,0.395,0.617,0.888,1.209,1.579,1.998,2.467,2.985,3.855,4.836,6.316,9.868)*D175*E175*G175/1000,3))</f>
        <v>20.722999999999999</v>
      </c>
    </row>
    <row r="176" spans="1:20" ht="26.25" customHeight="1" x14ac:dyDescent="0.2">
      <c r="A176" s="6">
        <v>1608</v>
      </c>
      <c r="B176" s="6" t="s">
        <v>65</v>
      </c>
      <c r="C176" s="7">
        <v>16</v>
      </c>
      <c r="D176" s="8">
        <v>1</v>
      </c>
      <c r="E176" s="8">
        <v>4</v>
      </c>
      <c r="F176" s="9">
        <f t="shared" ref="F176:F178" si="47">D176*E176</f>
        <v>4</v>
      </c>
      <c r="G176" s="10">
        <f>IF(H176=310,IF(ISERROR(0/C176/D176/E176/I176/J176/K176/M176),"VOID",ROUND(I176+J176+K176+M176-IF(C176&lt;20,1.25*C176,1.75*C176),-1)),"FALSE")</f>
        <v>3730</v>
      </c>
      <c r="H176" s="11">
        <v>310</v>
      </c>
      <c r="I176" s="8">
        <v>500</v>
      </c>
      <c r="J176" s="36">
        <v>300</v>
      </c>
      <c r="K176" s="36">
        <v>2800</v>
      </c>
      <c r="L176" s="38">
        <v>50</v>
      </c>
      <c r="M176" s="8">
        <v>150</v>
      </c>
      <c r="N176" s="37"/>
      <c r="O176" s="8"/>
      <c r="P176" s="8"/>
      <c r="Q176" s="8"/>
      <c r="R176" s="8"/>
      <c r="S176" s="33"/>
      <c r="T176" s="34">
        <f>IF(C176="","",ROUND(CHOOSE(MATCH(C176,{5,6,7,8,10,12,14,16,18,20,22,25,28,32,40},0),0.154,0.222,0.302,0.395,0.617,0.888,1.209,1.579,1.998,2.467,2.985,3.855,4.836,6.316,9.868)*D176*E176*G176/1000,3))</f>
        <v>23.559000000000001</v>
      </c>
    </row>
    <row r="177" spans="1:20" ht="26.25" customHeight="1" x14ac:dyDescent="0.2">
      <c r="A177" s="6">
        <v>2009</v>
      </c>
      <c r="B177" s="6" t="s">
        <v>65</v>
      </c>
      <c r="C177" s="7">
        <v>20</v>
      </c>
      <c r="D177" s="8">
        <v>1</v>
      </c>
      <c r="E177" s="8">
        <v>3</v>
      </c>
      <c r="F177" s="9">
        <f t="shared" si="47"/>
        <v>3</v>
      </c>
      <c r="G177" s="10">
        <f>IF(H177=200,IF(ISERROR(0/C177/D177/E177/I177/J177/K177),"VOID",ROUND(I177+J177+K177-IF(C177&lt;20,2.5*C177,3.5*C177),-1)),"FALSE")</f>
        <v>7430</v>
      </c>
      <c r="H177" s="11">
        <v>200</v>
      </c>
      <c r="I177" s="36">
        <v>150</v>
      </c>
      <c r="J177" s="36">
        <v>7200</v>
      </c>
      <c r="K177" s="36">
        <v>150</v>
      </c>
      <c r="L177" s="38"/>
      <c r="M177" s="8"/>
      <c r="N177" s="37"/>
      <c r="O177" s="8"/>
      <c r="P177" s="8"/>
      <c r="Q177" s="8"/>
      <c r="R177" s="8"/>
      <c r="S177" s="73"/>
      <c r="T177" s="34">
        <f>IF(C177="","",ROUND(CHOOSE(MATCH(C177,{5,6,7,8,10,12,14,16,18,20,22,25,28,32,40},0),0.154,0.222,0.302,0.395,0.617,0.888,1.209,1.579,1.998,2.467,2.985,3.855,4.836,6.316,9.868)*D177*E177*G177/1000,3))</f>
        <v>54.988999999999997</v>
      </c>
    </row>
    <row r="178" spans="1:20" ht="26.25" customHeight="1" x14ac:dyDescent="0.2">
      <c r="A178" s="6">
        <v>2010</v>
      </c>
      <c r="B178" s="6" t="s">
        <v>65</v>
      </c>
      <c r="C178" s="7">
        <v>20</v>
      </c>
      <c r="D178" s="8">
        <v>1</v>
      </c>
      <c r="E178" s="8">
        <v>2</v>
      </c>
      <c r="F178" s="9">
        <f t="shared" si="47"/>
        <v>2</v>
      </c>
      <c r="G178" s="10">
        <f>IF(H178=100,IF(ISERROR(0/C178/D178/E178/I178),"VOID",ROUND(I178,-1)),"FALSE")</f>
        <v>6000</v>
      </c>
      <c r="H178" s="11">
        <v>100</v>
      </c>
      <c r="I178" s="36">
        <v>6000</v>
      </c>
      <c r="J178" s="36"/>
      <c r="K178" s="36"/>
      <c r="L178" s="38"/>
      <c r="M178" s="8"/>
      <c r="N178" s="37"/>
      <c r="O178" s="8"/>
      <c r="P178" s="8"/>
      <c r="Q178" s="8"/>
      <c r="R178" s="8"/>
      <c r="S178" s="73"/>
      <c r="T178" s="34">
        <f>IF(C178="","",ROUND(CHOOSE(MATCH(C178,{5,6,7,8,10,12,14,16,18,20,22,25,28,32,40},0),0.154,0.222,0.302,0.395,0.617,0.888,1.209,1.579,1.998,2.467,2.985,3.855,4.836,6.316,9.868)*D178*E178*G178/1000,3))</f>
        <v>29.603999999999999</v>
      </c>
    </row>
    <row r="179" spans="1:20" ht="26.25" customHeight="1" x14ac:dyDescent="0.2">
      <c r="A179" s="6">
        <v>1005</v>
      </c>
      <c r="B179" s="6" t="s">
        <v>65</v>
      </c>
      <c r="C179" s="7">
        <v>10</v>
      </c>
      <c r="D179" s="8">
        <v>1</v>
      </c>
      <c r="E179" s="8">
        <v>48</v>
      </c>
      <c r="F179" s="9">
        <f t="shared" si="46"/>
        <v>48</v>
      </c>
      <c r="G179" s="10">
        <f>IF(H179=500,IF(ISERROR(0/C179/D179/E179/I179/J179/K179),"VOID",ROUND(2*(I179+J179+K179)-IF(C179&lt;20,6.25*C179,8.75*C179),-1)),"FALSE")</f>
        <v>1150</v>
      </c>
      <c r="H179" s="11">
        <v>500</v>
      </c>
      <c r="I179" s="8">
        <v>175</v>
      </c>
      <c r="J179" s="51">
        <v>300</v>
      </c>
      <c r="K179" s="70">
        <v>130</v>
      </c>
      <c r="L179" s="60"/>
      <c r="M179" s="79"/>
      <c r="N179" s="8"/>
      <c r="O179" s="8"/>
      <c r="P179" s="8"/>
      <c r="Q179" s="8"/>
      <c r="R179" s="8"/>
      <c r="S179" s="62"/>
      <c r="T179" s="34">
        <f>IF(C179="","",ROUND(CHOOSE(MATCH(C179,{5,6,7,8,10,12,14,16,18,20,22,25,28,32,40},0),0.154,0.222,0.302,0.395,0.617,0.888,1.209,1.579,1.998,2.467,2.985,3.855,4.836,6.316,9.868)*D179*E179*G179/1000,3))</f>
        <v>34.058</v>
      </c>
    </row>
    <row r="180" spans="1:20" ht="26.25" customHeight="1" x14ac:dyDescent="0.2">
      <c r="A180" s="6">
        <v>1611</v>
      </c>
      <c r="B180" s="6" t="s">
        <v>66</v>
      </c>
      <c r="C180" s="7">
        <v>16</v>
      </c>
      <c r="D180" s="8">
        <v>1</v>
      </c>
      <c r="E180" s="8">
        <v>2</v>
      </c>
      <c r="F180" s="9">
        <f t="shared" si="46"/>
        <v>2</v>
      </c>
      <c r="G180" s="10">
        <f>IF(H180=200,IF(ISERROR(0/C180/D180/E180/I180/J180/K180),"VOID",ROUND(I180+J180+K180-IF(C180&lt;20,2.5*C180,3.5*C180),-1)),"FALSE")</f>
        <v>5860</v>
      </c>
      <c r="H180" s="11">
        <v>200</v>
      </c>
      <c r="I180" s="36">
        <v>150</v>
      </c>
      <c r="J180" s="36">
        <v>5600</v>
      </c>
      <c r="K180" s="8">
        <v>150</v>
      </c>
      <c r="L180" s="54"/>
      <c r="M180" s="50"/>
      <c r="N180" s="8"/>
      <c r="O180" s="8"/>
      <c r="P180" s="8"/>
      <c r="Q180" s="8"/>
      <c r="R180" s="8"/>
      <c r="S180" s="80"/>
      <c r="T180" s="34">
        <f>IF(C180="","",ROUND(CHOOSE(MATCH(C180,{5,6,7,8,10,12,14,16,18,20,22,25,28,32,40},0),0.154,0.222,0.302,0.395,0.617,0.888,1.209,1.579,1.998,2.467,2.985,3.855,4.836,6.316,9.868)*D180*E180*G180/1000,3))</f>
        <v>18.506</v>
      </c>
    </row>
    <row r="181" spans="1:20" ht="26.25" customHeight="1" x14ac:dyDescent="0.2">
      <c r="A181" s="6">
        <v>2012</v>
      </c>
      <c r="B181" s="6" t="s">
        <v>66</v>
      </c>
      <c r="C181" s="7">
        <v>20</v>
      </c>
      <c r="D181" s="8">
        <v>1</v>
      </c>
      <c r="E181" s="8">
        <v>4</v>
      </c>
      <c r="F181" s="9">
        <f t="shared" si="46"/>
        <v>4</v>
      </c>
      <c r="G181" s="10">
        <f>IF(H181=200,IF(ISERROR(0/C181/D181/E181/I181/J181/K181),"VOID",ROUND(I181+J181+K181-IF(C181&lt;20,2.5*C181,3.5*C181),-1)),"FALSE")</f>
        <v>5830</v>
      </c>
      <c r="H181" s="11">
        <v>200</v>
      </c>
      <c r="I181" s="8">
        <v>150</v>
      </c>
      <c r="J181" s="8">
        <v>5600</v>
      </c>
      <c r="K181" s="55">
        <v>150</v>
      </c>
      <c r="L181" s="38"/>
      <c r="M181" s="8"/>
      <c r="N181" s="37"/>
      <c r="O181" s="8"/>
      <c r="P181" s="8"/>
      <c r="Q181" s="8"/>
      <c r="R181" s="8"/>
      <c r="S181" s="80"/>
      <c r="T181" s="34">
        <f>IF(C181="","",ROUND(CHOOSE(MATCH(C181,{5,6,7,8,10,12,14,16,18,20,22,25,28,32,40},0),0.154,0.222,0.302,0.395,0.617,0.888,1.209,1.579,1.998,2.467,2.985,3.855,4.836,6.316,9.868)*D181*E181*G181/1000,3))</f>
        <v>57.53</v>
      </c>
    </row>
    <row r="182" spans="1:20" ht="26.25" customHeight="1" x14ac:dyDescent="0.2">
      <c r="A182" s="6">
        <v>1005</v>
      </c>
      <c r="B182" s="6" t="s">
        <v>66</v>
      </c>
      <c r="C182" s="7">
        <v>10</v>
      </c>
      <c r="D182" s="8">
        <v>1</v>
      </c>
      <c r="E182" s="8">
        <v>48</v>
      </c>
      <c r="F182" s="9">
        <f t="shared" ref="F182" si="48">D182*E182</f>
        <v>48</v>
      </c>
      <c r="G182" s="10">
        <f>IF(H182=500,IF(ISERROR(0/C182/D182/E182/I182/J182/K182),"VOID",ROUND(2*(I182+J182+K182)-IF(C182&lt;20,6.25*C182,8.75*C182),-1)),"FALSE")</f>
        <v>1150</v>
      </c>
      <c r="H182" s="11">
        <v>500</v>
      </c>
      <c r="I182" s="8">
        <v>175</v>
      </c>
      <c r="J182" s="51">
        <v>300</v>
      </c>
      <c r="K182" s="70">
        <v>130</v>
      </c>
      <c r="L182" s="60"/>
      <c r="M182" s="79"/>
      <c r="N182" s="8"/>
      <c r="O182" s="8"/>
      <c r="P182" s="8"/>
      <c r="Q182" s="8"/>
      <c r="R182" s="8"/>
      <c r="S182" s="80"/>
      <c r="T182" s="34">
        <f>IF(C182="","",ROUND(CHOOSE(MATCH(C182,{5,6,7,8,10,12,14,16,18,20,22,25,28,32,40},0),0.154,0.222,0.302,0.395,0.617,0.888,1.209,1.579,1.998,2.467,2.985,3.855,4.836,6.316,9.868)*D182*E182*G182/1000,3))</f>
        <v>34.058</v>
      </c>
    </row>
    <row r="183" spans="1:20" ht="26.25" customHeight="1" x14ac:dyDescent="0.2">
      <c r="A183" s="6">
        <v>1613</v>
      </c>
      <c r="B183" s="6" t="s">
        <v>42</v>
      </c>
      <c r="C183" s="7">
        <v>16</v>
      </c>
      <c r="D183" s="8">
        <v>1</v>
      </c>
      <c r="E183" s="8">
        <v>2</v>
      </c>
      <c r="F183" s="9">
        <f t="shared" si="46"/>
        <v>2</v>
      </c>
      <c r="G183" s="10">
        <f>IF(H183=200,IF(ISERROR(0/C183/D183/E183/I183/J183/K183),"VOID",ROUND(I183+J183+K183-IF(C183&lt;20,2.5*C183,3.5*C183),-1)),"FALSE")</f>
        <v>3260</v>
      </c>
      <c r="H183" s="11">
        <v>200</v>
      </c>
      <c r="I183" s="36">
        <v>150</v>
      </c>
      <c r="J183" s="36">
        <v>3000</v>
      </c>
      <c r="K183" s="8">
        <v>150</v>
      </c>
      <c r="L183" s="54"/>
      <c r="M183" s="50"/>
      <c r="N183" s="8"/>
      <c r="O183" s="8"/>
      <c r="P183" s="8"/>
      <c r="Q183" s="8"/>
      <c r="R183" s="8"/>
      <c r="S183" s="80"/>
      <c r="T183" s="34">
        <f>IF(C183="","",ROUND(CHOOSE(MATCH(C183,{5,6,7,8,10,12,14,16,18,20,22,25,28,32,40},0),0.154,0.222,0.302,0.395,0.617,0.888,1.209,1.579,1.998,2.467,2.985,3.855,4.836,6.316,9.868)*D183*E183*G183/1000,3))</f>
        <v>10.295</v>
      </c>
    </row>
    <row r="184" spans="1:20" ht="26.25" customHeight="1" x14ac:dyDescent="0.2">
      <c r="A184" s="6">
        <v>1614</v>
      </c>
      <c r="B184" s="6" t="s">
        <v>42</v>
      </c>
      <c r="C184" s="7">
        <v>16</v>
      </c>
      <c r="D184" s="8">
        <v>1</v>
      </c>
      <c r="E184" s="8">
        <v>2</v>
      </c>
      <c r="F184" s="9">
        <f t="shared" si="46"/>
        <v>2</v>
      </c>
      <c r="G184" s="10">
        <f>IF(H184=200,IF(ISERROR(0/C184/D184/E184/I184/J184/K184),"VOID",ROUND(I184+J184+K184-IF(C184&lt;20,2.5*C184,3.5*C184),-1)),"FALSE")</f>
        <v>3260</v>
      </c>
      <c r="H184" s="11">
        <v>200</v>
      </c>
      <c r="I184" s="8">
        <v>150</v>
      </c>
      <c r="J184" s="8">
        <v>3000</v>
      </c>
      <c r="K184" s="36">
        <v>150</v>
      </c>
      <c r="L184" s="38"/>
      <c r="M184" s="8"/>
      <c r="N184" s="37"/>
      <c r="O184" s="8"/>
      <c r="P184" s="8"/>
      <c r="Q184" s="8"/>
      <c r="R184" s="8"/>
      <c r="S184" s="80"/>
      <c r="T184" s="34">
        <f>IF(C184="","",ROUND(CHOOSE(MATCH(C184,{5,6,7,8,10,12,14,16,18,20,22,25,28,32,40},0),0.154,0.222,0.302,0.395,0.617,0.888,1.209,1.579,1.998,2.467,2.985,3.855,4.836,6.316,9.868)*D184*E184*G184/1000,3))</f>
        <v>10.295</v>
      </c>
    </row>
    <row r="185" spans="1:20" ht="26.25" customHeight="1" x14ac:dyDescent="0.2">
      <c r="A185" s="6">
        <v>1005</v>
      </c>
      <c r="B185" s="6" t="s">
        <v>42</v>
      </c>
      <c r="C185" s="7">
        <v>10</v>
      </c>
      <c r="D185" s="8">
        <v>1</v>
      </c>
      <c r="E185" s="8">
        <v>12</v>
      </c>
      <c r="F185" s="9">
        <f t="shared" si="46"/>
        <v>12</v>
      </c>
      <c r="G185" s="10">
        <f>IF(H185=500,IF(ISERROR(0/C185/D185/E185/I185/J185/K185),"VOID",ROUND(2*(I185+J185+K185)-IF(C185&lt;20,6.25*C185,8.75*C185),-1)),"FALSE")</f>
        <v>1150</v>
      </c>
      <c r="H185" s="11">
        <v>500</v>
      </c>
      <c r="I185" s="8">
        <v>175</v>
      </c>
      <c r="J185" s="8">
        <v>300</v>
      </c>
      <c r="K185" s="36">
        <f>CEILING(MAX(C185*13,),5)</f>
        <v>130</v>
      </c>
      <c r="L185" s="12"/>
      <c r="M185" s="37"/>
      <c r="N185" s="8"/>
      <c r="O185" s="8"/>
      <c r="P185" s="8"/>
      <c r="Q185" s="8"/>
      <c r="R185" s="8"/>
      <c r="S185" s="80"/>
      <c r="T185" s="34">
        <f>IF(C185="","",ROUND(CHOOSE(MATCH(C185,{5,6,7,8,10,12,14,16,18,20,22,25,28,32,40},0),0.154,0.222,0.302,0.395,0.617,0.888,1.209,1.579,1.998,2.467,2.985,3.855,4.836,6.316,9.868)*D185*E185*G185/1000,3))</f>
        <v>8.5150000000000006</v>
      </c>
    </row>
    <row r="186" spans="1:20" ht="26.25" customHeight="1" x14ac:dyDescent="0.2">
      <c r="A186" s="6">
        <v>1615</v>
      </c>
      <c r="B186" s="6" t="s">
        <v>68</v>
      </c>
      <c r="C186" s="7">
        <v>16</v>
      </c>
      <c r="D186" s="8">
        <v>1</v>
      </c>
      <c r="E186" s="8">
        <v>2</v>
      </c>
      <c r="F186" s="9">
        <f t="shared" ref="F186" si="49">D186*E186</f>
        <v>2</v>
      </c>
      <c r="G186" s="10">
        <f>IF(H186=310,IF(ISERROR(0/C186/D186/E186/I186/J186/K186/M186),"VOID",ROUND(I186+J186+K186+M186-IF(C186&lt;20,1.25*C186,1.75*C186),-1)),"FALSE")</f>
        <v>3730</v>
      </c>
      <c r="H186" s="11">
        <v>310</v>
      </c>
      <c r="I186" s="36">
        <v>500</v>
      </c>
      <c r="J186" s="55">
        <v>300</v>
      </c>
      <c r="K186" s="50">
        <v>2800</v>
      </c>
      <c r="L186" s="54">
        <v>50</v>
      </c>
      <c r="M186" s="66">
        <v>150</v>
      </c>
      <c r="N186" s="8"/>
      <c r="O186" s="8"/>
      <c r="P186" s="8"/>
      <c r="Q186" s="8"/>
      <c r="R186" s="8"/>
      <c r="S186" s="33"/>
      <c r="T186" s="34">
        <f>IF(C186="","",ROUND(CHOOSE(MATCH(C186,{5,6,7,8,10,12,14,16,18,20,22,25,28,32,40},0),0.154,0.222,0.302,0.395,0.617,0.888,1.209,1.579,1.998,2.467,2.985,3.855,4.836,6.316,9.868)*D186*E186*G186/1000,3))</f>
        <v>11.779</v>
      </c>
    </row>
    <row r="187" spans="1:20" ht="26.25" customHeight="1" x14ac:dyDescent="0.2">
      <c r="A187" s="6">
        <v>1616</v>
      </c>
      <c r="B187" s="6" t="s">
        <v>68</v>
      </c>
      <c r="C187" s="7">
        <v>16</v>
      </c>
      <c r="D187" s="8">
        <v>1</v>
      </c>
      <c r="E187" s="8">
        <v>3</v>
      </c>
      <c r="F187" s="9">
        <f t="shared" si="46"/>
        <v>3</v>
      </c>
      <c r="G187" s="10">
        <f>IF(H187=100,IF(ISERROR(0/C187/D187/E187/I187),"VOID",ROUND(I187,-1)),"FALSE")</f>
        <v>2600</v>
      </c>
      <c r="H187" s="11">
        <v>100</v>
      </c>
      <c r="I187" s="36">
        <v>2600</v>
      </c>
      <c r="J187" s="36"/>
      <c r="K187" s="36"/>
      <c r="L187" s="38"/>
      <c r="M187" s="8"/>
      <c r="N187" s="37"/>
      <c r="O187" s="8"/>
      <c r="P187" s="8"/>
      <c r="Q187" s="8"/>
      <c r="R187" s="8"/>
      <c r="S187" s="80"/>
      <c r="T187" s="34">
        <f>IF(C187="","",ROUND(CHOOSE(MATCH(C187,{5,6,7,8,10,12,14,16,18,20,22,25,28,32,40},0),0.154,0.222,0.302,0.395,0.617,0.888,1.209,1.579,1.998,2.467,2.985,3.855,4.836,6.316,9.868)*D187*E187*G187/1000,3))</f>
        <v>12.316000000000001</v>
      </c>
    </row>
    <row r="188" spans="1:20" ht="54.75" customHeight="1" x14ac:dyDescent="0.2">
      <c r="A188" s="6">
        <v>1617</v>
      </c>
      <c r="B188" s="6" t="s">
        <v>68</v>
      </c>
      <c r="C188" s="7">
        <v>16</v>
      </c>
      <c r="D188" s="8">
        <v>1</v>
      </c>
      <c r="E188" s="8">
        <v>2</v>
      </c>
      <c r="F188" s="9">
        <f t="shared" si="46"/>
        <v>2</v>
      </c>
      <c r="G188" s="10">
        <f>IF(H188=483,IF(ISERROR(0/C188/D188/E188/I188/J188/K188/M188),"VOID",ROUND(I188+2*J188+K188+M188,-1)),"FALSE")</f>
        <v>3400</v>
      </c>
      <c r="H188" s="11">
        <v>483</v>
      </c>
      <c r="I188" s="8">
        <v>500</v>
      </c>
      <c r="J188" s="50">
        <v>300</v>
      </c>
      <c r="K188" s="55">
        <v>1800</v>
      </c>
      <c r="L188" s="12">
        <v>50</v>
      </c>
      <c r="M188" s="37">
        <v>500</v>
      </c>
      <c r="N188" s="8"/>
      <c r="O188" s="8"/>
      <c r="P188" s="8"/>
      <c r="Q188" s="8"/>
      <c r="R188" s="8"/>
      <c r="S188" s="33"/>
      <c r="T188" s="34">
        <f>IF(C188="","",ROUND(CHOOSE(MATCH(C188,{5,6,7,8,10,12,14,16,18,20,22,25,28,32,40},0),0.154,0.222,0.302,0.395,0.617,0.888,1.209,1.579,1.998,2.467,2.985,3.855,4.836,6.316,9.868)*D188*E188*G188/1000,3))</f>
        <v>10.737</v>
      </c>
    </row>
    <row r="189" spans="1:20" ht="26.25" customHeight="1" x14ac:dyDescent="0.2">
      <c r="A189" s="6">
        <v>1618</v>
      </c>
      <c r="B189" s="6" t="s">
        <v>68</v>
      </c>
      <c r="C189" s="7">
        <v>16</v>
      </c>
      <c r="D189" s="8">
        <v>1</v>
      </c>
      <c r="E189" s="8">
        <v>2</v>
      </c>
      <c r="F189" s="9">
        <f t="shared" ref="F189:F191" si="50">D189*E189</f>
        <v>2</v>
      </c>
      <c r="G189" s="10">
        <f>IF(H189=100,IF(ISERROR(0/C189/D189/E189/I189),"VOID",ROUND(I189,-1)),"FALSE")</f>
        <v>2800</v>
      </c>
      <c r="H189" s="11">
        <v>100</v>
      </c>
      <c r="I189" s="36">
        <v>2800</v>
      </c>
      <c r="J189" s="36"/>
      <c r="K189" s="8"/>
      <c r="L189" s="41"/>
      <c r="M189" s="8"/>
      <c r="N189" s="8"/>
      <c r="O189" s="8"/>
      <c r="P189" s="8"/>
      <c r="Q189" s="8"/>
      <c r="R189" s="8"/>
      <c r="S189" s="80"/>
      <c r="T189" s="34">
        <f>IF(C189="","",ROUND(CHOOSE(MATCH(C189,{5,6,7,8,10,12,14,16,18,20,22,25,28,32,40},0),0.154,0.222,0.302,0.395,0.617,0.888,1.209,1.579,1.998,2.467,2.985,3.855,4.836,6.316,9.868)*D189*E189*G189/1000,3))</f>
        <v>8.8420000000000005</v>
      </c>
    </row>
    <row r="190" spans="1:20" ht="54.75" customHeight="1" x14ac:dyDescent="0.2">
      <c r="A190" s="6">
        <v>1619</v>
      </c>
      <c r="B190" s="6" t="s">
        <v>68</v>
      </c>
      <c r="C190" s="7">
        <v>20</v>
      </c>
      <c r="D190" s="8">
        <v>1</v>
      </c>
      <c r="E190" s="8">
        <v>2</v>
      </c>
      <c r="F190" s="9">
        <f t="shared" si="50"/>
        <v>2</v>
      </c>
      <c r="G190" s="10">
        <f>IF(H190=483,IF(ISERROR(0/C190/D190/E190/I190/J190/K190/M190),"VOID",ROUND(I190+2*J190+K190+M190,-1)),"FALSE")</f>
        <v>4400</v>
      </c>
      <c r="H190" s="11">
        <v>483</v>
      </c>
      <c r="I190" s="8">
        <v>500</v>
      </c>
      <c r="J190" s="50">
        <v>300</v>
      </c>
      <c r="K190" s="55">
        <v>2800</v>
      </c>
      <c r="L190" s="38">
        <v>50</v>
      </c>
      <c r="M190" s="8">
        <v>500</v>
      </c>
      <c r="N190" s="37"/>
      <c r="O190" s="8"/>
      <c r="P190" s="8"/>
      <c r="Q190" s="8"/>
      <c r="R190" s="8"/>
      <c r="S190" s="33"/>
      <c r="T190" s="34">
        <f>IF(C190="","",ROUND(CHOOSE(MATCH(C190,{5,6,7,8,10,12,14,16,18,20,22,25,28,32,40},0),0.154,0.222,0.302,0.395,0.617,0.888,1.209,1.579,1.998,2.467,2.985,3.855,4.836,6.316,9.868)*D190*E190*G190/1000,3))</f>
        <v>21.71</v>
      </c>
    </row>
    <row r="191" spans="1:20" ht="26.25" customHeight="1" x14ac:dyDescent="0.2">
      <c r="A191" s="6">
        <v>1620</v>
      </c>
      <c r="B191" s="6" t="s">
        <v>68</v>
      </c>
      <c r="C191" s="7">
        <v>16</v>
      </c>
      <c r="D191" s="8">
        <v>1</v>
      </c>
      <c r="E191" s="8">
        <v>3</v>
      </c>
      <c r="F191" s="9">
        <f t="shared" si="50"/>
        <v>3</v>
      </c>
      <c r="G191" s="10">
        <f>IF(H191=100,IF(ISERROR(0/C191/D191/E191/I191),"VOID",ROUND(I191,-1)),"FALSE")</f>
        <v>2700</v>
      </c>
      <c r="H191" s="11">
        <v>100</v>
      </c>
      <c r="I191" s="36">
        <v>2700</v>
      </c>
      <c r="J191" s="36"/>
      <c r="K191" s="8"/>
      <c r="L191" s="41"/>
      <c r="M191" s="37"/>
      <c r="N191" s="8"/>
      <c r="O191" s="8"/>
      <c r="P191" s="8"/>
      <c r="Q191" s="8"/>
      <c r="R191" s="8"/>
      <c r="S191" s="80"/>
      <c r="T191" s="34">
        <f>IF(C191="","",ROUND(CHOOSE(MATCH(C191,{5,6,7,8,10,12,14,16,18,20,22,25,28,32,40},0),0.154,0.222,0.302,0.395,0.617,0.888,1.209,1.579,1.998,2.467,2.985,3.855,4.836,6.316,9.868)*D191*E191*G191/1000,3))</f>
        <v>12.79</v>
      </c>
    </row>
    <row r="192" spans="1:20" ht="26.25" customHeight="1" x14ac:dyDescent="0.2">
      <c r="A192" s="6">
        <v>1621</v>
      </c>
      <c r="B192" s="6" t="s">
        <v>68</v>
      </c>
      <c r="C192" s="7">
        <v>16</v>
      </c>
      <c r="D192" s="8">
        <v>1</v>
      </c>
      <c r="E192" s="8">
        <v>2</v>
      </c>
      <c r="F192" s="9">
        <f t="shared" ref="F192:F193" si="51">D192*E192</f>
        <v>2</v>
      </c>
      <c r="G192" s="10">
        <f>IF(H192=310,IF(ISERROR(0/C192/D192/E192/I192/J192/K192/M192),"VOID",ROUND(I192+J192+K192+M192-IF(C192&lt;20,1.25*C192,1.75*C192),-1)),"FALSE")</f>
        <v>2630</v>
      </c>
      <c r="H192" s="11">
        <v>310</v>
      </c>
      <c r="I192" s="36">
        <v>500</v>
      </c>
      <c r="J192" s="36">
        <v>300</v>
      </c>
      <c r="K192" s="8">
        <v>1700</v>
      </c>
      <c r="L192" s="41">
        <v>50</v>
      </c>
      <c r="M192" s="8">
        <v>150</v>
      </c>
      <c r="N192" s="8"/>
      <c r="O192" s="8"/>
      <c r="P192" s="8"/>
      <c r="Q192" s="8"/>
      <c r="R192" s="8"/>
      <c r="S192" s="33"/>
      <c r="T192" s="34">
        <f>IF(C192="","",ROUND(CHOOSE(MATCH(C192,{5,6,7,8,10,12,14,16,18,20,22,25,28,32,40},0),0.154,0.222,0.302,0.395,0.617,0.888,1.209,1.579,1.998,2.467,2.985,3.855,4.836,6.316,9.868)*D192*E192*G192/1000,3))</f>
        <v>8.3059999999999992</v>
      </c>
    </row>
    <row r="193" spans="1:20" ht="26.25" customHeight="1" x14ac:dyDescent="0.2">
      <c r="A193" s="6">
        <v>1622</v>
      </c>
      <c r="B193" s="6" t="s">
        <v>68</v>
      </c>
      <c r="C193" s="7">
        <v>16</v>
      </c>
      <c r="D193" s="8">
        <v>1</v>
      </c>
      <c r="E193" s="8">
        <v>2</v>
      </c>
      <c r="F193" s="9">
        <f t="shared" si="51"/>
        <v>2</v>
      </c>
      <c r="G193" s="10">
        <f>IF(H193=310,IF(ISERROR(0/C193/D193/E193/I193/J193/K193/M193),"VOID",ROUND(I193+J193+K193+M193-IF(C193&lt;20,1.25*C193,1.75*C193),-1)),"FALSE")</f>
        <v>4730</v>
      </c>
      <c r="H193" s="11">
        <v>310</v>
      </c>
      <c r="I193" s="8">
        <v>500</v>
      </c>
      <c r="J193" s="50">
        <v>300</v>
      </c>
      <c r="K193" s="55">
        <v>3800</v>
      </c>
      <c r="L193" s="38">
        <v>50</v>
      </c>
      <c r="M193" s="8">
        <v>150</v>
      </c>
      <c r="N193" s="37"/>
      <c r="O193" s="8"/>
      <c r="P193" s="8"/>
      <c r="Q193" s="8"/>
      <c r="R193" s="8"/>
      <c r="S193" s="33"/>
      <c r="T193" s="34">
        <f>IF(C193="","",ROUND(CHOOSE(MATCH(C193,{5,6,7,8,10,12,14,16,18,20,22,25,28,32,40},0),0.154,0.222,0.302,0.395,0.617,0.888,1.209,1.579,1.998,2.467,2.985,3.855,4.836,6.316,9.868)*D193*E193*G193/1000,3))</f>
        <v>14.936999999999999</v>
      </c>
    </row>
    <row r="194" spans="1:20" ht="26.25" customHeight="1" x14ac:dyDescent="0.2">
      <c r="A194" s="6">
        <v>1623</v>
      </c>
      <c r="B194" s="6" t="s">
        <v>68</v>
      </c>
      <c r="C194" s="7">
        <v>16</v>
      </c>
      <c r="D194" s="8">
        <v>1</v>
      </c>
      <c r="E194" s="8">
        <v>3</v>
      </c>
      <c r="F194" s="9">
        <f t="shared" ref="F194:F195" si="52">D194*E194</f>
        <v>3</v>
      </c>
      <c r="G194" s="10">
        <f>IF(H194=100,IF(ISERROR(0/C194/D194/E194/I194),"VOID",ROUND(I194,-1)),"FALSE")</f>
        <v>12100</v>
      </c>
      <c r="H194" s="11">
        <v>100</v>
      </c>
      <c r="I194" s="36">
        <v>12100</v>
      </c>
      <c r="J194" s="36"/>
      <c r="K194" s="8"/>
      <c r="L194" s="41"/>
      <c r="M194" s="8"/>
      <c r="N194" s="8"/>
      <c r="O194" s="8"/>
      <c r="P194" s="8"/>
      <c r="Q194" s="8"/>
      <c r="R194" s="8"/>
      <c r="S194" s="80"/>
      <c r="T194" s="34">
        <f>IF(C194="","",ROUND(CHOOSE(MATCH(C194,{5,6,7,8,10,12,14,16,18,20,22,25,28,32,40},0),0.154,0.222,0.302,0.395,0.617,0.888,1.209,1.579,1.998,2.467,2.985,3.855,4.836,6.316,9.868)*D194*E194*G194/1000,3))</f>
        <v>57.317999999999998</v>
      </c>
    </row>
    <row r="195" spans="1:20" ht="26.25" customHeight="1" x14ac:dyDescent="0.2">
      <c r="A195" s="6">
        <v>1624</v>
      </c>
      <c r="B195" s="6" t="s">
        <v>68</v>
      </c>
      <c r="C195" s="7">
        <v>16</v>
      </c>
      <c r="D195" s="8">
        <v>1</v>
      </c>
      <c r="E195" s="8">
        <v>2</v>
      </c>
      <c r="F195" s="9">
        <f t="shared" si="52"/>
        <v>2</v>
      </c>
      <c r="G195" s="10">
        <f>IF(H195=310,IF(ISERROR(0/C195/D195/E195/I195/J195/K195/M195),"VOID",ROUND(I195+J195+K195+M195-IF(C195&lt;20,1.25*C195,1.75*C195),-1)),"FALSE")</f>
        <v>3630</v>
      </c>
      <c r="H195" s="11">
        <v>310</v>
      </c>
      <c r="I195" s="8">
        <v>500</v>
      </c>
      <c r="J195" s="8">
        <v>300</v>
      </c>
      <c r="K195" s="36">
        <v>2700</v>
      </c>
      <c r="L195" s="38">
        <v>50</v>
      </c>
      <c r="M195" s="8">
        <v>150</v>
      </c>
      <c r="N195" s="37"/>
      <c r="O195" s="8"/>
      <c r="P195" s="8"/>
      <c r="Q195" s="8"/>
      <c r="R195" s="8"/>
      <c r="S195" s="33"/>
      <c r="T195" s="34">
        <f>IF(C195="","",ROUND(CHOOSE(MATCH(C195,{5,6,7,8,10,12,14,16,18,20,22,25,28,32,40},0),0.154,0.222,0.302,0.395,0.617,0.888,1.209,1.579,1.998,2.467,2.985,3.855,4.836,6.316,9.868)*D195*E195*G195/1000,3))</f>
        <v>11.464</v>
      </c>
    </row>
    <row r="196" spans="1:20" ht="26.25" customHeight="1" x14ac:dyDescent="0.2">
      <c r="A196" s="6">
        <v>1005</v>
      </c>
      <c r="B196" s="6" t="s">
        <v>68</v>
      </c>
      <c r="C196" s="7">
        <v>10</v>
      </c>
      <c r="D196" s="8">
        <v>1</v>
      </c>
      <c r="E196" s="8">
        <v>76</v>
      </c>
      <c r="F196" s="9">
        <f t="shared" si="46"/>
        <v>76</v>
      </c>
      <c r="G196" s="10">
        <f>IF(H196=500,IF(ISERROR(0/C196/D196/E196/I196/J196/K196),"VOID",ROUND(2*(I196+J196+K196)-IF(C196&lt;20,6.25*C196,8.75*C196),-1)),"FALSE")</f>
        <v>1150</v>
      </c>
      <c r="H196" s="11">
        <v>500</v>
      </c>
      <c r="I196" s="36">
        <v>175</v>
      </c>
      <c r="J196" s="36">
        <v>300</v>
      </c>
      <c r="K196" s="8">
        <f>CEILING(MAX(C196*13,),5)</f>
        <v>130</v>
      </c>
      <c r="L196" s="41"/>
      <c r="M196" s="8"/>
      <c r="N196" s="8"/>
      <c r="O196" s="8"/>
      <c r="P196" s="8"/>
      <c r="Q196" s="8"/>
      <c r="R196" s="8"/>
      <c r="S196" s="80"/>
      <c r="T196" s="34">
        <f>IF(C196="","",ROUND(CHOOSE(MATCH(C196,{5,6,7,8,10,12,14,16,18,20,22,25,28,32,40},0),0.154,0.222,0.302,0.395,0.617,0.888,1.209,1.579,1.998,2.467,2.985,3.855,4.836,6.316,9.868)*D196*E196*G196/1000,3))</f>
        <v>53.926000000000002</v>
      </c>
    </row>
    <row r="197" spans="1:20" ht="26.25" customHeight="1" x14ac:dyDescent="0.2">
      <c r="A197" s="6">
        <v>1625</v>
      </c>
      <c r="B197" s="6" t="s">
        <v>43</v>
      </c>
      <c r="C197" s="7">
        <v>16</v>
      </c>
      <c r="D197" s="8">
        <v>1</v>
      </c>
      <c r="E197" s="8">
        <v>2</v>
      </c>
      <c r="F197" s="9">
        <f t="shared" ref="F197" si="53">D197*E197</f>
        <v>2</v>
      </c>
      <c r="G197" s="10">
        <f>IF(H197=310,IF(ISERROR(0/C197/D197/E197/I197/J197/K197/M197),"VOID",ROUND(I197+J197+K197+M197-IF(C197&lt;20,1.25*C197,1.75*C197),-1)),"FALSE")</f>
        <v>11030</v>
      </c>
      <c r="H197" s="11">
        <v>310</v>
      </c>
      <c r="I197" s="36">
        <v>500</v>
      </c>
      <c r="J197" s="36">
        <v>300</v>
      </c>
      <c r="K197" s="8">
        <v>10100</v>
      </c>
      <c r="L197" s="41">
        <v>50</v>
      </c>
      <c r="M197" s="50">
        <v>150</v>
      </c>
      <c r="N197" s="8"/>
      <c r="O197" s="8"/>
      <c r="P197" s="8"/>
      <c r="Q197" s="8"/>
      <c r="R197" s="8"/>
      <c r="S197" s="33"/>
      <c r="T197" s="34">
        <f>IF(C197="","",ROUND(CHOOSE(MATCH(C197,{5,6,7,8,10,12,14,16,18,20,22,25,28,32,40},0),0.154,0.222,0.302,0.395,0.617,0.888,1.209,1.579,1.998,2.467,2.985,3.855,4.836,6.316,9.868)*D197*E197*G197/1000,3))</f>
        <v>34.832999999999998</v>
      </c>
    </row>
    <row r="198" spans="1:20" ht="26.25" customHeight="1" x14ac:dyDescent="0.2">
      <c r="A198" s="6">
        <v>1626</v>
      </c>
      <c r="B198" s="6" t="s">
        <v>43</v>
      </c>
      <c r="C198" s="7">
        <v>16</v>
      </c>
      <c r="D198" s="8">
        <v>1</v>
      </c>
      <c r="E198" s="8">
        <v>2</v>
      </c>
      <c r="F198" s="9">
        <f t="shared" si="46"/>
        <v>2</v>
      </c>
      <c r="G198" s="10">
        <f>IF(H198=222,IF(ISERROR(0/C198/D198/E198/I198/J198/K198),"VOID",ROUND(I198+J198+K198,-1)),"FALSE")</f>
        <v>11800</v>
      </c>
      <c r="H198" s="11">
        <v>222</v>
      </c>
      <c r="I198" s="36">
        <v>500</v>
      </c>
      <c r="J198" s="36">
        <v>300</v>
      </c>
      <c r="K198" s="50">
        <v>11000</v>
      </c>
      <c r="L198" s="71">
        <v>50</v>
      </c>
      <c r="M198" s="50"/>
      <c r="N198" s="37"/>
      <c r="O198" s="8"/>
      <c r="P198" s="8"/>
      <c r="Q198" s="8"/>
      <c r="R198" s="8"/>
      <c r="S198" s="33"/>
      <c r="T198" s="34">
        <f>IF(C198="","",ROUND(CHOOSE(MATCH(C198,{5,6,7,8,10,12,14,16,18,20,22,25,28,32,40},0),0.154,0.222,0.302,0.395,0.617,0.888,1.209,1.579,1.998,2.467,2.985,3.855,4.836,6.316,9.868)*D198*E198*G198/1000,3))</f>
        <v>37.264000000000003</v>
      </c>
    </row>
    <row r="199" spans="1:20" ht="26.25" customHeight="1" x14ac:dyDescent="0.2">
      <c r="A199" s="6">
        <v>1627</v>
      </c>
      <c r="B199" s="6" t="s">
        <v>43</v>
      </c>
      <c r="C199" s="7">
        <v>16</v>
      </c>
      <c r="D199" s="8">
        <v>1</v>
      </c>
      <c r="E199" s="8">
        <v>2</v>
      </c>
      <c r="F199" s="9">
        <f t="shared" si="46"/>
        <v>2</v>
      </c>
      <c r="G199" s="10">
        <f>IF(H199=111,IF(ISERROR(0/C199/D199/E199/I199/J199),"VOID",ROUND(I199+J199-IF(C199&lt;20,1.25*C199,1.75*C199),-1)),"FALSE")</f>
        <v>10230</v>
      </c>
      <c r="H199" s="11">
        <v>111</v>
      </c>
      <c r="I199" s="8">
        <v>150</v>
      </c>
      <c r="J199" s="36">
        <v>10100</v>
      </c>
      <c r="K199" s="36"/>
      <c r="L199" s="38"/>
      <c r="M199" s="50"/>
      <c r="N199" s="37"/>
      <c r="O199" s="8"/>
      <c r="P199" s="8"/>
      <c r="Q199" s="8"/>
      <c r="R199" s="8"/>
      <c r="S199" s="80"/>
      <c r="T199" s="34">
        <f>IF(C199="","",ROUND(CHOOSE(MATCH(C199,{5,6,7,8,10,12,14,16,18,20,22,25,28,32,40},0),0.154,0.222,0.302,0.395,0.617,0.888,1.209,1.579,1.998,2.467,2.985,3.855,4.836,6.316,9.868)*D199*E199*G199/1000,3))</f>
        <v>32.305999999999997</v>
      </c>
    </row>
    <row r="200" spans="1:20" ht="26.25" customHeight="1" x14ac:dyDescent="0.2">
      <c r="A200" s="6">
        <v>1628</v>
      </c>
      <c r="B200" s="6" t="s">
        <v>43</v>
      </c>
      <c r="C200" s="7">
        <v>16</v>
      </c>
      <c r="D200" s="8">
        <v>1</v>
      </c>
      <c r="E200" s="8">
        <v>2</v>
      </c>
      <c r="F200" s="9">
        <f t="shared" si="46"/>
        <v>2</v>
      </c>
      <c r="G200" s="10">
        <f>IF(H200=222,IF(ISERROR(0/C200/D200/E200/I200/J200/K200),"VOID",ROUND(I200+J200+K200,-1)),"FALSE")</f>
        <v>11400</v>
      </c>
      <c r="H200" s="11">
        <v>222</v>
      </c>
      <c r="I200" s="36">
        <v>500</v>
      </c>
      <c r="J200" s="36">
        <v>300</v>
      </c>
      <c r="K200" s="50">
        <v>10600</v>
      </c>
      <c r="L200" s="71">
        <v>50</v>
      </c>
      <c r="M200" s="50"/>
      <c r="N200" s="37"/>
      <c r="O200" s="8"/>
      <c r="P200" s="8"/>
      <c r="Q200" s="8"/>
      <c r="R200" s="8"/>
      <c r="S200" s="33"/>
      <c r="T200" s="34">
        <f>IF(C200="","",ROUND(CHOOSE(MATCH(C200,{5,6,7,8,10,12,14,16,18,20,22,25,28,32,40},0),0.154,0.222,0.302,0.395,0.617,0.888,1.209,1.579,1.998,2.467,2.985,3.855,4.836,6.316,9.868)*D200*E200*G200/1000,3))</f>
        <v>36.000999999999998</v>
      </c>
    </row>
    <row r="201" spans="1:20" ht="26.25" customHeight="1" x14ac:dyDescent="0.2">
      <c r="A201" s="6">
        <v>1629</v>
      </c>
      <c r="B201" s="6" t="s">
        <v>43</v>
      </c>
      <c r="C201" s="7">
        <v>16</v>
      </c>
      <c r="D201" s="8">
        <v>1</v>
      </c>
      <c r="E201" s="8">
        <v>2</v>
      </c>
      <c r="F201" s="9">
        <f t="shared" si="46"/>
        <v>2</v>
      </c>
      <c r="G201" s="10">
        <f>IF(H201=222,IF(ISERROR(0/C201/D201/E201/I201/J201/K201),"VOID",ROUND(I201+J201+K201,-1)),"FALSE")</f>
        <v>9800</v>
      </c>
      <c r="H201" s="11">
        <v>222</v>
      </c>
      <c r="I201" s="8">
        <v>500</v>
      </c>
      <c r="J201" s="36">
        <v>300</v>
      </c>
      <c r="K201" s="55">
        <v>9000</v>
      </c>
      <c r="L201" s="57">
        <v>50</v>
      </c>
      <c r="M201" s="8"/>
      <c r="N201" s="37"/>
      <c r="O201" s="8"/>
      <c r="P201" s="8"/>
      <c r="Q201" s="8"/>
      <c r="R201" s="8"/>
      <c r="S201" s="33"/>
      <c r="T201" s="34">
        <f>IF(C201="","",ROUND(CHOOSE(MATCH(C201,{5,6,7,8,10,12,14,16,18,20,22,25,28,32,40},0),0.154,0.222,0.302,0.395,0.617,0.888,1.209,1.579,1.998,2.467,2.985,3.855,4.836,6.316,9.868)*D201*E201*G201/1000,3))</f>
        <v>30.948</v>
      </c>
    </row>
    <row r="202" spans="1:20" ht="26.25" customHeight="1" x14ac:dyDescent="0.2">
      <c r="A202" s="6">
        <v>1630</v>
      </c>
      <c r="B202" s="6" t="s">
        <v>43</v>
      </c>
      <c r="C202" s="7">
        <v>16</v>
      </c>
      <c r="D202" s="8">
        <v>1</v>
      </c>
      <c r="E202" s="8">
        <v>2</v>
      </c>
      <c r="F202" s="9">
        <f t="shared" ref="F202" si="54">D202*E202</f>
        <v>2</v>
      </c>
      <c r="G202" s="10">
        <f>IF(H202=111,IF(ISERROR(0/C202/D202/E202/I202/J202),"VOID",ROUND(I202+J202-IF(C202&lt;20,1.25*C202,1.75*C202),-1)),"FALSE")</f>
        <v>11630</v>
      </c>
      <c r="H202" s="11">
        <v>111</v>
      </c>
      <c r="I202" s="8">
        <v>150</v>
      </c>
      <c r="J202" s="36">
        <v>11500</v>
      </c>
      <c r="K202" s="36"/>
      <c r="L202" s="12"/>
      <c r="M202" s="37"/>
      <c r="N202" s="37"/>
      <c r="O202" s="8"/>
      <c r="P202" s="8"/>
      <c r="Q202" s="8"/>
      <c r="R202" s="8"/>
      <c r="S202" s="80"/>
      <c r="T202" s="34">
        <f>IF(C202="","",ROUND(CHOOSE(MATCH(C202,{5,6,7,8,10,12,14,16,18,20,22,25,28,32,40},0),0.154,0.222,0.302,0.395,0.617,0.888,1.209,1.579,1.998,2.467,2.985,3.855,4.836,6.316,9.868)*D202*E202*G202/1000,3))</f>
        <v>36.728000000000002</v>
      </c>
    </row>
    <row r="203" spans="1:20" ht="26.25" customHeight="1" x14ac:dyDescent="0.2">
      <c r="A203" s="6">
        <v>1005</v>
      </c>
      <c r="B203" s="6" t="s">
        <v>43</v>
      </c>
      <c r="C203" s="7">
        <v>10</v>
      </c>
      <c r="D203" s="8">
        <v>1</v>
      </c>
      <c r="E203" s="8">
        <v>127</v>
      </c>
      <c r="F203" s="9">
        <f t="shared" ref="F203" si="55">D203*E203</f>
        <v>127</v>
      </c>
      <c r="G203" s="10">
        <f>IF(H203=500,IF(ISERROR(0/C203/D203/E203/I203/J203/K203),"VOID",ROUND(2*(I203+J203+K203)-IF(C203&lt;20,6.25*C203,8.75*C203),-1)),"FALSE")</f>
        <v>1150</v>
      </c>
      <c r="H203" s="11">
        <v>500</v>
      </c>
      <c r="I203" s="36">
        <v>175</v>
      </c>
      <c r="J203" s="36">
        <v>300</v>
      </c>
      <c r="K203" s="51">
        <f>CEILING(MAX(C203*13,),5)</f>
        <v>130</v>
      </c>
      <c r="L203" s="76"/>
      <c r="M203" s="8"/>
      <c r="N203" s="8"/>
      <c r="O203" s="8"/>
      <c r="P203" s="8"/>
      <c r="Q203" s="8"/>
      <c r="R203" s="8"/>
      <c r="S203" s="80"/>
      <c r="T203" s="34">
        <f>IF(C203="","",ROUND(CHOOSE(MATCH(C203,{5,6,7,8,10,12,14,16,18,20,22,25,28,32,40},0),0.154,0.222,0.302,0.395,0.617,0.888,1.209,1.579,1.998,2.467,2.985,3.855,4.836,6.316,9.868)*D203*E203*G203/1000,3))</f>
        <v>90.113</v>
      </c>
    </row>
    <row r="204" spans="1:20" ht="26.25" customHeight="1" x14ac:dyDescent="0.2">
      <c r="A204" s="6">
        <v>2015</v>
      </c>
      <c r="B204" s="6" t="s">
        <v>66</v>
      </c>
      <c r="C204" s="7">
        <v>20</v>
      </c>
      <c r="D204" s="8">
        <v>1</v>
      </c>
      <c r="E204" s="8">
        <v>6</v>
      </c>
      <c r="F204" s="9">
        <f t="shared" ref="F204:F211" si="56">D204*E204</f>
        <v>6</v>
      </c>
      <c r="G204" s="10">
        <f>IF(H204=111,IF(ISERROR(0/C204/D204/E204/I204/J204),"VOID",ROUND(I204+J204-IF(C204&lt;20,1.25*C204,1.75*C204),-1)),"FALSE")</f>
        <v>4340</v>
      </c>
      <c r="H204" s="11">
        <v>111</v>
      </c>
      <c r="I204" s="8">
        <v>150</v>
      </c>
      <c r="J204" s="36">
        <v>4225</v>
      </c>
      <c r="K204" s="8"/>
      <c r="L204" s="41"/>
      <c r="M204" s="37"/>
      <c r="N204" s="8"/>
      <c r="O204" s="8"/>
      <c r="P204" s="8"/>
      <c r="Q204" s="8"/>
      <c r="R204" s="8"/>
      <c r="S204" s="62"/>
      <c r="T204" s="34">
        <f>IF(C204="","",ROUND(CHOOSE(MATCH(C204,{5,6,7,8,10,12,14,16,18,20,22,25,28,32,40},0),0.154,0.222,0.302,0.395,0.617,0.888,1.209,1.579,1.998,2.467,2.985,3.855,4.836,6.316,9.868)*D204*E204*G204/1000,3))</f>
        <v>64.241</v>
      </c>
    </row>
    <row r="205" spans="1:20" ht="26.25" customHeight="1" x14ac:dyDescent="0.2">
      <c r="A205" s="6">
        <v>1615</v>
      </c>
      <c r="B205" s="6" t="s">
        <v>66</v>
      </c>
      <c r="C205" s="7">
        <v>16</v>
      </c>
      <c r="D205" s="8">
        <v>1</v>
      </c>
      <c r="E205" s="8">
        <v>2</v>
      </c>
      <c r="F205" s="9">
        <f t="shared" si="56"/>
        <v>2</v>
      </c>
      <c r="G205" s="10">
        <f>IF(H205=483,IF(ISERROR(0/C205/D205/E205/I205/J205/K205/M205),"VOID",ROUND(I205+2*J205+K205+M205,-1)),"FALSE")</f>
        <v>4630</v>
      </c>
      <c r="H205" s="11">
        <v>483</v>
      </c>
      <c r="I205" s="36">
        <v>500</v>
      </c>
      <c r="J205" s="36">
        <v>300</v>
      </c>
      <c r="K205" s="8">
        <v>3025</v>
      </c>
      <c r="L205" s="41">
        <v>50</v>
      </c>
      <c r="M205" s="8">
        <v>500</v>
      </c>
      <c r="N205" s="8"/>
      <c r="O205" s="8"/>
      <c r="P205" s="8"/>
      <c r="Q205" s="8"/>
      <c r="R205" s="8"/>
      <c r="S205" s="33"/>
      <c r="T205" s="34">
        <f>IF(C205="","",ROUND(CHOOSE(MATCH(C205,{5,6,7,8,10,12,14,16,18,20,22,25,28,32,40},0),0.154,0.222,0.302,0.395,0.617,0.888,1.209,1.579,1.998,2.467,2.985,3.855,4.836,6.316,9.868)*D205*E205*G205/1000,3))</f>
        <v>14.622</v>
      </c>
    </row>
    <row r="206" spans="1:20" ht="26.25" customHeight="1" x14ac:dyDescent="0.2">
      <c r="A206" s="6">
        <v>1615</v>
      </c>
      <c r="B206" s="6" t="s">
        <v>66</v>
      </c>
      <c r="C206" s="7">
        <v>16</v>
      </c>
      <c r="D206" s="8">
        <v>1</v>
      </c>
      <c r="E206" s="8">
        <v>2</v>
      </c>
      <c r="F206" s="9">
        <f t="shared" si="56"/>
        <v>2</v>
      </c>
      <c r="G206" s="10">
        <f>IF(H206=310,IF(ISERROR(0/C206/D206/E206/I206/J206/K206/M206),"VOID",ROUND(I206+J206+K206+M206-IF(C206&lt;20,1.25*C206,1.75*C206),-1)),"FALSE")</f>
        <v>3530</v>
      </c>
      <c r="H206" s="11">
        <v>310</v>
      </c>
      <c r="I206" s="8">
        <v>500</v>
      </c>
      <c r="J206" s="50">
        <v>300</v>
      </c>
      <c r="K206" s="55">
        <v>2600</v>
      </c>
      <c r="L206" s="12">
        <v>50</v>
      </c>
      <c r="M206" s="37">
        <v>150</v>
      </c>
      <c r="N206" s="8"/>
      <c r="O206" s="8"/>
      <c r="P206" s="8"/>
      <c r="Q206" s="8"/>
      <c r="R206" s="8"/>
      <c r="S206" s="33"/>
      <c r="T206" s="34">
        <f>IF(C206="","",ROUND(CHOOSE(MATCH(C206,{5,6,7,8,10,12,14,16,18,20,22,25,28,32,40},0),0.154,0.222,0.302,0.395,0.617,0.888,1.209,1.579,1.998,2.467,2.985,3.855,4.836,6.316,9.868)*D206*E206*G206/1000,3))</f>
        <v>11.148</v>
      </c>
    </row>
    <row r="207" spans="1:20" ht="54.75" customHeight="1" x14ac:dyDescent="0.2">
      <c r="A207" s="6">
        <v>2017</v>
      </c>
      <c r="B207" s="6" t="s">
        <v>66</v>
      </c>
      <c r="C207" s="7">
        <v>20</v>
      </c>
      <c r="D207" s="8">
        <v>1</v>
      </c>
      <c r="E207" s="8">
        <v>3</v>
      </c>
      <c r="F207" s="9">
        <f t="shared" si="56"/>
        <v>3</v>
      </c>
      <c r="G207" s="10">
        <f>IF(H207=100,IF(ISERROR(0/C207/D207/E207/I207),"VOID",ROUND(I207,-1)),"FALSE")</f>
        <v>6230</v>
      </c>
      <c r="H207" s="11">
        <v>100</v>
      </c>
      <c r="I207" s="36">
        <v>6225</v>
      </c>
      <c r="J207" s="55"/>
      <c r="K207" s="50"/>
      <c r="L207" s="41"/>
      <c r="M207" s="37"/>
      <c r="N207" s="8"/>
      <c r="O207" s="8"/>
      <c r="P207" s="8"/>
      <c r="Q207" s="8"/>
      <c r="R207" s="8"/>
      <c r="S207" s="62"/>
      <c r="T207" s="34">
        <f>IF(C207="","",ROUND(CHOOSE(MATCH(C207,{5,6,7,8,10,12,14,16,18,20,22,25,28,32,40},0),0.154,0.222,0.302,0.395,0.617,0.888,1.209,1.579,1.998,2.467,2.985,3.855,4.836,6.316,9.868)*D207*E207*G207/1000,3))</f>
        <v>46.107999999999997</v>
      </c>
    </row>
    <row r="208" spans="1:20" ht="26.25" customHeight="1" x14ac:dyDescent="0.2">
      <c r="A208" s="6">
        <v>2018</v>
      </c>
      <c r="B208" s="6" t="s">
        <v>66</v>
      </c>
      <c r="C208" s="7">
        <v>20</v>
      </c>
      <c r="D208" s="8">
        <v>1</v>
      </c>
      <c r="E208" s="8">
        <v>2</v>
      </c>
      <c r="F208" s="9">
        <f t="shared" si="56"/>
        <v>2</v>
      </c>
      <c r="G208" s="10">
        <f>IF(H208=100,IF(ISERROR(0/C208/D208/E208/I208),"VOID",ROUND(I208,-1)),"FALSE")</f>
        <v>3000</v>
      </c>
      <c r="H208" s="11">
        <v>100</v>
      </c>
      <c r="I208" s="36">
        <v>3000</v>
      </c>
      <c r="J208" s="36"/>
      <c r="K208" s="8"/>
      <c r="L208" s="41"/>
      <c r="M208" s="8"/>
      <c r="N208" s="8"/>
      <c r="O208" s="8"/>
      <c r="P208" s="8"/>
      <c r="Q208" s="8"/>
      <c r="R208" s="8"/>
      <c r="S208" s="62"/>
      <c r="T208" s="34">
        <f>IF(C208="","",ROUND(CHOOSE(MATCH(C208,{5,6,7,8,10,12,14,16,18,20,22,25,28,32,40},0),0.154,0.222,0.302,0.395,0.617,0.888,1.209,1.579,1.998,2.467,2.985,3.855,4.836,6.316,9.868)*D208*E208*G208/1000,3))</f>
        <v>14.802</v>
      </c>
    </row>
    <row r="209" spans="1:20" ht="26.25" customHeight="1" x14ac:dyDescent="0.2">
      <c r="A209" s="6">
        <v>1006</v>
      </c>
      <c r="B209" s="6" t="s">
        <v>66</v>
      </c>
      <c r="C209" s="7">
        <v>10</v>
      </c>
      <c r="D209" s="8">
        <v>1</v>
      </c>
      <c r="E209" s="8">
        <v>66</v>
      </c>
      <c r="F209" s="9">
        <f t="shared" si="56"/>
        <v>66</v>
      </c>
      <c r="G209" s="10">
        <f>IF(H209=500,IF(ISERROR(0/C209/D209/E209/I209/J209/K209),"VOID",ROUND(2*(I209+J209+K209)-IF(C209&lt;20,6.25*C209,8.75*C209),-1)),"FALSE")</f>
        <v>1150</v>
      </c>
      <c r="H209" s="11">
        <v>500</v>
      </c>
      <c r="I209" s="36">
        <v>175</v>
      </c>
      <c r="J209" s="36">
        <v>300</v>
      </c>
      <c r="K209" s="50">
        <f>CEILING(MAX(C209*13,),5)</f>
        <v>130</v>
      </c>
      <c r="L209" s="41"/>
      <c r="M209" s="8"/>
      <c r="N209" s="8"/>
      <c r="O209" s="8"/>
      <c r="P209" s="8"/>
      <c r="Q209" s="8"/>
      <c r="R209" s="8"/>
      <c r="S209" s="63"/>
      <c r="T209" s="34">
        <f>IF(C209="","",ROUND(CHOOSE(MATCH(C209,{5,6,7,8,10,12,14,16,18,20,22,25,28,32,40},0),0.154,0.222,0.302,0.395,0.617,0.888,1.209,1.579,1.998,2.467,2.985,3.855,4.836,6.316,9.868)*D209*E209*G209/1000,3))</f>
        <v>46.83</v>
      </c>
    </row>
    <row r="210" spans="1:20" ht="54.75" customHeight="1" x14ac:dyDescent="0.2">
      <c r="A210" s="6">
        <v>1619</v>
      </c>
      <c r="B210" s="6" t="s">
        <v>42</v>
      </c>
      <c r="C210" s="7">
        <v>16</v>
      </c>
      <c r="D210" s="8">
        <v>1</v>
      </c>
      <c r="E210" s="8">
        <v>2</v>
      </c>
      <c r="F210" s="9">
        <f t="shared" si="56"/>
        <v>2</v>
      </c>
      <c r="G210" s="10">
        <f>IF(H210=200,IF(ISERROR(0/C210/D210/E210/I210/J210/K210),"VOID",ROUND(I210+J210+K210-IF(C210&lt;20,2.5*C210,3.5*C210),-1)),"FALSE")</f>
        <v>6490</v>
      </c>
      <c r="H210" s="11">
        <v>200</v>
      </c>
      <c r="I210" s="8">
        <v>150</v>
      </c>
      <c r="J210" s="8">
        <v>6225</v>
      </c>
      <c r="K210" s="36">
        <v>150</v>
      </c>
      <c r="L210" s="12"/>
      <c r="M210" s="37"/>
      <c r="N210" s="8"/>
      <c r="O210" s="8"/>
      <c r="P210" s="8"/>
      <c r="Q210" s="8"/>
      <c r="R210" s="8"/>
      <c r="S210" s="62"/>
      <c r="T210" s="34">
        <f>IF(C210="","",ROUND(CHOOSE(MATCH(C210,{5,6,7,8,10,12,14,16,18,20,22,25,28,32,40},0),0.154,0.222,0.302,0.395,0.617,0.888,1.209,1.579,1.998,2.467,2.985,3.855,4.836,6.316,9.868)*D210*E210*G210/1000,3))</f>
        <v>20.495000000000001</v>
      </c>
    </row>
    <row r="211" spans="1:20" ht="26.25" customHeight="1" x14ac:dyDescent="0.2">
      <c r="A211" s="6">
        <v>2020</v>
      </c>
      <c r="B211" s="6" t="s">
        <v>42</v>
      </c>
      <c r="C211" s="7">
        <v>20</v>
      </c>
      <c r="D211" s="8">
        <v>1</v>
      </c>
      <c r="E211" s="8">
        <v>4</v>
      </c>
      <c r="F211" s="9">
        <f t="shared" si="56"/>
        <v>4</v>
      </c>
      <c r="G211" s="10">
        <f>IF(H211=200,IF(ISERROR(0/C211/D211/E211/I211/J211/K211),"VOID",ROUND(I211+J211+K211-IF(C211&lt;20,2.5*C211,3.5*C211),-1)),"FALSE")</f>
        <v>6460</v>
      </c>
      <c r="H211" s="11">
        <v>200</v>
      </c>
      <c r="I211" s="36">
        <v>150</v>
      </c>
      <c r="J211" s="55">
        <v>6225</v>
      </c>
      <c r="K211" s="50">
        <v>150</v>
      </c>
      <c r="L211" s="41"/>
      <c r="M211" s="8"/>
      <c r="N211" s="8"/>
      <c r="O211" s="8"/>
      <c r="P211" s="8"/>
      <c r="Q211" s="8"/>
      <c r="R211" s="8"/>
      <c r="S211" s="62"/>
      <c r="T211" s="34">
        <f>IF(C211="","",ROUND(CHOOSE(MATCH(C211,{5,6,7,8,10,12,14,16,18,20,22,25,28,32,40},0),0.154,0.222,0.302,0.395,0.617,0.888,1.209,1.579,1.998,2.467,2.985,3.855,4.836,6.316,9.868)*D211*E211*G211/1000,3))</f>
        <v>63.747</v>
      </c>
    </row>
    <row r="212" spans="1:20" ht="26.25" customHeight="1" x14ac:dyDescent="0.2">
      <c r="A212" s="6">
        <v>2021</v>
      </c>
      <c r="B212" s="6" t="s">
        <v>42</v>
      </c>
      <c r="C212" s="7">
        <v>20</v>
      </c>
      <c r="D212" s="8">
        <v>1</v>
      </c>
      <c r="E212" s="8">
        <v>2</v>
      </c>
      <c r="F212" s="9">
        <f t="shared" ref="F212:F223" si="57">D212*E212</f>
        <v>2</v>
      </c>
      <c r="G212" s="10">
        <f>IF(H212=100,IF(ISERROR(0/C212/D212/E212/I212),"VOID",ROUND(I212,-1)),"FALSE")</f>
        <v>6230</v>
      </c>
      <c r="H212" s="11">
        <v>100</v>
      </c>
      <c r="I212" s="36">
        <v>6225</v>
      </c>
      <c r="J212" s="36"/>
      <c r="K212" s="8"/>
      <c r="L212" s="41"/>
      <c r="M212" s="37"/>
      <c r="N212" s="8"/>
      <c r="O212" s="8"/>
      <c r="P212" s="8"/>
      <c r="Q212" s="8"/>
      <c r="R212" s="8"/>
      <c r="S212" s="62"/>
      <c r="T212" s="34">
        <f>IF(C212="","",ROUND(CHOOSE(MATCH(C212,{5,6,7,8,10,12,14,16,18,20,22,25,28,32,40},0),0.154,0.222,0.302,0.395,0.617,0.888,1.209,1.579,1.998,2.467,2.985,3.855,4.836,6.316,9.868)*D212*E212*G212/1000,3))</f>
        <v>30.739000000000001</v>
      </c>
    </row>
    <row r="213" spans="1:20" ht="54.75" customHeight="1" x14ac:dyDescent="0.2">
      <c r="A213" s="6" t="s">
        <v>67</v>
      </c>
      <c r="B213" s="6" t="s">
        <v>42</v>
      </c>
      <c r="C213" s="7">
        <v>10</v>
      </c>
      <c r="D213" s="8">
        <v>1</v>
      </c>
      <c r="E213" s="8">
        <v>25</v>
      </c>
      <c r="F213" s="9">
        <f t="shared" si="57"/>
        <v>25</v>
      </c>
      <c r="G213" s="10">
        <f>IF(H213=500,IF(ISERROR(0/C213/D213/E213/I213/J213/K213),"VOID",ROUND(2*(I213+J213+K213)-IF(C213&lt;20,6.25*C213,8.75*C213),-1)),"FALSE")</f>
        <v>1150</v>
      </c>
      <c r="H213" s="11">
        <v>500</v>
      </c>
      <c r="I213" s="36">
        <v>175</v>
      </c>
      <c r="J213" s="36">
        <v>300</v>
      </c>
      <c r="K213" s="8">
        <v>130</v>
      </c>
      <c r="L213" s="41"/>
      <c r="M213" s="8"/>
      <c r="N213" s="8"/>
      <c r="O213" s="8"/>
      <c r="P213" s="8"/>
      <c r="Q213" s="8"/>
      <c r="R213" s="8"/>
      <c r="S213" s="62"/>
      <c r="T213" s="34">
        <f>IF(C213="","",ROUND(CHOOSE(MATCH(C213,{5,6,7,8,10,12,14,16,18,20,22,25,28,32,40},0),0.154,0.222,0.302,0.395,0.617,0.888,1.209,1.579,1.998,2.467,2.985,3.855,4.836,6.316,9.868)*D213*E213*G213/1000,3))</f>
        <v>17.739000000000001</v>
      </c>
    </row>
    <row r="214" spans="1:20" ht="26.25" customHeight="1" x14ac:dyDescent="0.2">
      <c r="A214" s="6">
        <v>1622</v>
      </c>
      <c r="B214" s="6" t="s">
        <v>68</v>
      </c>
      <c r="C214" s="7">
        <v>16</v>
      </c>
      <c r="D214" s="8">
        <v>1</v>
      </c>
      <c r="E214" s="8">
        <v>4</v>
      </c>
      <c r="F214" s="9">
        <f t="shared" si="57"/>
        <v>4</v>
      </c>
      <c r="G214" s="10">
        <f>IF(H214=200,IF(ISERROR(0/C214/D214/E214/I214/J214/K214),"VOID",ROUND(I214+J214+K214-IF(C214&lt;20,2.5*C214,3.5*C214),-1)),"FALSE")</f>
        <v>2270</v>
      </c>
      <c r="H214" s="11">
        <v>200</v>
      </c>
      <c r="I214" s="8">
        <v>150</v>
      </c>
      <c r="J214" s="8">
        <v>2013</v>
      </c>
      <c r="K214" s="36">
        <v>150</v>
      </c>
      <c r="L214" s="12"/>
      <c r="M214" s="37"/>
      <c r="N214" s="8"/>
      <c r="O214" s="8"/>
      <c r="P214" s="8"/>
      <c r="Q214" s="8"/>
      <c r="R214" s="8"/>
      <c r="S214" s="63"/>
      <c r="T214" s="34">
        <f>IF(C214="","",ROUND(CHOOSE(MATCH(C214,{5,6,7,8,10,12,14,16,18,20,22,25,28,32,40},0),0.154,0.222,0.302,0.395,0.617,0.888,1.209,1.579,1.998,2.467,2.985,3.855,4.836,6.316,9.868)*D214*E214*G214/1000,3))</f>
        <v>14.337</v>
      </c>
    </row>
    <row r="215" spans="1:20" ht="26.25" customHeight="1" x14ac:dyDescent="0.2">
      <c r="A215" s="6">
        <v>1006</v>
      </c>
      <c r="B215" s="6" t="s">
        <v>68</v>
      </c>
      <c r="C215" s="7">
        <v>10</v>
      </c>
      <c r="D215" s="8">
        <v>1</v>
      </c>
      <c r="E215" s="8">
        <v>8</v>
      </c>
      <c r="F215" s="9">
        <f t="shared" si="57"/>
        <v>8</v>
      </c>
      <c r="G215" s="10">
        <f>IF(H215=500,IF(ISERROR(0/C215/D215/E215/I215/J215/K215),"VOID",ROUND(2*(I215+J215+K215)-IF(C215&lt;20,6.25*C215,8.75*C215),-1)),"FALSE")</f>
        <v>1150</v>
      </c>
      <c r="H215" s="11">
        <v>500</v>
      </c>
      <c r="I215" s="36">
        <v>175</v>
      </c>
      <c r="J215" s="36">
        <v>300</v>
      </c>
      <c r="K215" s="8">
        <f>CEILING(MAX(C215*13,),5)</f>
        <v>130</v>
      </c>
      <c r="L215" s="41"/>
      <c r="M215" s="8"/>
      <c r="N215" s="8"/>
      <c r="O215" s="8"/>
      <c r="P215" s="8"/>
      <c r="Q215" s="8"/>
      <c r="R215" s="8"/>
      <c r="S215" s="63"/>
      <c r="T215" s="34">
        <f>IF(C215="","",ROUND(CHOOSE(MATCH(C215,{5,6,7,8,10,12,14,16,18,20,22,25,28,32,40},0),0.154,0.222,0.302,0.395,0.617,0.888,1.209,1.579,1.998,2.467,2.985,3.855,4.836,6.316,9.868)*D215*E215*G215/1000,3))</f>
        <v>5.6760000000000002</v>
      </c>
    </row>
    <row r="216" spans="1:20" ht="26.25" customHeight="1" x14ac:dyDescent="0.2">
      <c r="A216" s="6">
        <v>1623</v>
      </c>
      <c r="B216" s="6" t="s">
        <v>63</v>
      </c>
      <c r="C216" s="7">
        <v>16</v>
      </c>
      <c r="D216" s="8">
        <v>1</v>
      </c>
      <c r="E216" s="8">
        <v>2</v>
      </c>
      <c r="F216" s="9">
        <f t="shared" si="57"/>
        <v>2</v>
      </c>
      <c r="G216" s="10">
        <f>IF(H216=310,IF(ISERROR(0/C216/D216/E216/I216/J216/K216/M216),"VOID",ROUND(I216+J216+K216+M216-IF(C216&lt;20,1.25*C216,1.75*C216),-1)),"FALSE")</f>
        <v>3770</v>
      </c>
      <c r="H216" s="11">
        <v>310</v>
      </c>
      <c r="I216" s="8">
        <v>500</v>
      </c>
      <c r="J216" s="8">
        <v>300</v>
      </c>
      <c r="K216" s="55">
        <v>2938</v>
      </c>
      <c r="L216" s="12">
        <v>150</v>
      </c>
      <c r="M216" s="37">
        <v>50</v>
      </c>
      <c r="N216" s="8"/>
      <c r="O216" s="8"/>
      <c r="P216" s="8"/>
      <c r="Q216" s="8"/>
      <c r="R216" s="8"/>
      <c r="S216" s="33"/>
      <c r="T216" s="34">
        <f>IF(C216="","",ROUND(CHOOSE(MATCH(C216,{5,6,7,8,10,12,14,16,18,20,22,25,28,32,40},0),0.154,0.222,0.302,0.395,0.617,0.888,1.209,1.579,1.998,2.467,2.985,3.855,4.836,6.316,9.868)*D216*E216*G216/1000,3))</f>
        <v>11.906000000000001</v>
      </c>
    </row>
    <row r="217" spans="1:20" ht="26.25" customHeight="1" x14ac:dyDescent="0.2">
      <c r="A217" s="6">
        <v>1624</v>
      </c>
      <c r="B217" s="6" t="s">
        <v>63</v>
      </c>
      <c r="C217" s="7">
        <v>16</v>
      </c>
      <c r="D217" s="8">
        <v>1</v>
      </c>
      <c r="E217" s="8">
        <v>4</v>
      </c>
      <c r="F217" s="9">
        <f t="shared" si="57"/>
        <v>4</v>
      </c>
      <c r="G217" s="10">
        <f>IF(H217=111,IF(ISERROR(0/C217/D217/E217/I217/J217),"VOID",ROUND(I217+J217-IF(C217&lt;20,1.25*C217,1.75*C217),-1)),"FALSE")</f>
        <v>4070</v>
      </c>
      <c r="H217" s="11">
        <v>111</v>
      </c>
      <c r="I217" s="36">
        <v>150</v>
      </c>
      <c r="J217" s="36">
        <v>3938</v>
      </c>
      <c r="K217" s="8"/>
      <c r="L217" s="41"/>
      <c r="M217" s="8"/>
      <c r="N217" s="8"/>
      <c r="O217" s="8"/>
      <c r="P217" s="8"/>
      <c r="Q217" s="8"/>
      <c r="R217" s="8"/>
      <c r="S217" s="63"/>
      <c r="T217" s="34">
        <f>IF(C217="","",ROUND(CHOOSE(MATCH(C217,{5,6,7,8,10,12,14,16,18,20,22,25,28,32,40},0),0.154,0.222,0.302,0.395,0.617,0.888,1.209,1.579,1.998,2.467,2.985,3.855,4.836,6.316,9.868)*D217*E217*G217/1000,3))</f>
        <v>25.706</v>
      </c>
    </row>
    <row r="218" spans="1:20" ht="26.25" customHeight="1" x14ac:dyDescent="0.2">
      <c r="A218" s="6">
        <v>1626</v>
      </c>
      <c r="B218" s="6" t="s">
        <v>43</v>
      </c>
      <c r="C218" s="7">
        <v>16</v>
      </c>
      <c r="D218" s="8">
        <v>1</v>
      </c>
      <c r="E218" s="8">
        <v>4</v>
      </c>
      <c r="F218" s="9">
        <f t="shared" si="57"/>
        <v>4</v>
      </c>
      <c r="G218" s="10">
        <f>IF(H218=310,IF(ISERROR(0/C218/D218/E218/I218/J218/K218/M218),"VOID",ROUND(I218+J218+K218+M218-IF(C218&lt;20,1.25*C218,1.75*C218),-1)),"FALSE")</f>
        <v>5310</v>
      </c>
      <c r="H218" s="11">
        <v>310</v>
      </c>
      <c r="I218" s="8">
        <v>500</v>
      </c>
      <c r="J218" s="50">
        <v>300</v>
      </c>
      <c r="K218" s="55">
        <v>4480</v>
      </c>
      <c r="L218" s="12">
        <v>150</v>
      </c>
      <c r="M218" s="37">
        <v>50</v>
      </c>
      <c r="N218" s="8"/>
      <c r="O218" s="8"/>
      <c r="P218" s="8"/>
      <c r="Q218" s="8"/>
      <c r="R218" s="8"/>
      <c r="S218" s="33"/>
      <c r="T218" s="34">
        <f>IF(C218="","",ROUND(CHOOSE(MATCH(C218,{5,6,7,8,10,12,14,16,18,20,22,25,28,32,40},0),0.154,0.222,0.302,0.395,0.617,0.888,1.209,1.579,1.998,2.467,2.985,3.855,4.836,6.316,9.868)*D218*E218*G218/1000,3))</f>
        <v>33.537999999999997</v>
      </c>
    </row>
    <row r="219" spans="1:20" ht="26.25" customHeight="1" x14ac:dyDescent="0.2">
      <c r="A219" s="6">
        <v>2027</v>
      </c>
      <c r="B219" s="6" t="s">
        <v>43</v>
      </c>
      <c r="C219" s="7">
        <v>20</v>
      </c>
      <c r="D219" s="8">
        <v>1</v>
      </c>
      <c r="E219" s="8">
        <v>3</v>
      </c>
      <c r="F219" s="9">
        <f t="shared" si="57"/>
        <v>3</v>
      </c>
      <c r="G219" s="10">
        <f>IF(H219=100,IF(ISERROR(0/C219/D219/E219/I219),"VOID",ROUND(I219,-1)),"FALSE")</f>
        <v>3000</v>
      </c>
      <c r="H219" s="11">
        <v>100</v>
      </c>
      <c r="I219" s="36">
        <v>3000</v>
      </c>
      <c r="J219" s="36"/>
      <c r="K219" s="8"/>
      <c r="L219" s="41"/>
      <c r="M219" s="8"/>
      <c r="N219" s="8"/>
      <c r="O219" s="8"/>
      <c r="P219" s="8"/>
      <c r="Q219" s="8"/>
      <c r="R219" s="8"/>
      <c r="S219" s="63"/>
      <c r="T219" s="34">
        <f>IF(C219="","",ROUND(CHOOSE(MATCH(C219,{5,6,7,8,10,12,14,16,18,20,22,25,28,32,40},0),0.154,0.222,0.302,0.395,0.617,0.888,1.209,1.579,1.998,2.467,2.985,3.855,4.836,6.316,9.868)*D219*E219*G219/1000,3))</f>
        <v>22.202999999999999</v>
      </c>
    </row>
    <row r="220" spans="1:20" ht="26.25" customHeight="1" x14ac:dyDescent="0.2">
      <c r="A220" s="6">
        <v>1628</v>
      </c>
      <c r="B220" s="6" t="s">
        <v>43</v>
      </c>
      <c r="C220" s="7">
        <v>16</v>
      </c>
      <c r="D220" s="8">
        <v>1</v>
      </c>
      <c r="E220" s="8">
        <v>2</v>
      </c>
      <c r="F220" s="9">
        <f t="shared" si="57"/>
        <v>2</v>
      </c>
      <c r="G220" s="10">
        <f>IF(H220=483,IF(ISERROR(0/C220/D220/E220/I220/J220/K220/M220),"VOID",ROUND(I220+2*J220+K220+M220,-1)),"FALSE")</f>
        <v>4470</v>
      </c>
      <c r="H220" s="11">
        <v>483</v>
      </c>
      <c r="I220" s="8">
        <v>500</v>
      </c>
      <c r="J220" s="50">
        <v>300</v>
      </c>
      <c r="K220" s="55">
        <v>2870</v>
      </c>
      <c r="L220" s="12">
        <v>50</v>
      </c>
      <c r="M220" s="37">
        <v>500</v>
      </c>
      <c r="N220" s="8"/>
      <c r="O220" s="8"/>
      <c r="P220" s="8"/>
      <c r="Q220" s="8"/>
      <c r="R220" s="8"/>
      <c r="S220" s="33"/>
      <c r="T220" s="34">
        <f>IF(C220="","",ROUND(CHOOSE(MATCH(C220,{5,6,7,8,10,12,14,16,18,20,22,25,28,32,40},0),0.154,0.222,0.302,0.395,0.617,0.888,1.209,1.579,1.998,2.467,2.985,3.855,4.836,6.316,9.868)*D220*E220*G220/1000,3))</f>
        <v>14.116</v>
      </c>
    </row>
    <row r="221" spans="1:20" ht="26.25" customHeight="1" x14ac:dyDescent="0.2">
      <c r="A221" s="6">
        <v>1629</v>
      </c>
      <c r="B221" s="6" t="s">
        <v>43</v>
      </c>
      <c r="C221" s="7">
        <v>16</v>
      </c>
      <c r="D221" s="8">
        <v>1</v>
      </c>
      <c r="E221" s="8">
        <v>3</v>
      </c>
      <c r="F221" s="9">
        <f t="shared" ref="F221" si="58">D221*E221</f>
        <v>3</v>
      </c>
      <c r="G221" s="10">
        <f>IF(H221=100,IF(ISERROR(0/C221/D221/E221/I221),"VOID",ROUND(I221,-1)),"FALSE")</f>
        <v>5630</v>
      </c>
      <c r="H221" s="11">
        <v>100</v>
      </c>
      <c r="I221" s="36">
        <v>5625</v>
      </c>
      <c r="J221" s="36"/>
      <c r="K221" s="8"/>
      <c r="L221" s="41"/>
      <c r="M221" s="37"/>
      <c r="N221" s="8"/>
      <c r="O221" s="8"/>
      <c r="P221" s="8"/>
      <c r="Q221" s="8"/>
      <c r="R221" s="8"/>
      <c r="S221" s="63"/>
      <c r="T221" s="34">
        <f>IF(C221="","",ROUND(CHOOSE(MATCH(C221,{5,6,7,8,10,12,14,16,18,20,22,25,28,32,40},0),0.154,0.222,0.302,0.395,0.617,0.888,1.209,1.579,1.998,2.467,2.985,3.855,4.836,6.316,9.868)*D221*E221*G221/1000,3))</f>
        <v>26.669</v>
      </c>
    </row>
    <row r="222" spans="1:20" ht="26.25" customHeight="1" x14ac:dyDescent="0.2">
      <c r="A222" s="6">
        <v>1630</v>
      </c>
      <c r="B222" s="6" t="s">
        <v>43</v>
      </c>
      <c r="C222" s="7">
        <v>16</v>
      </c>
      <c r="D222" s="8">
        <v>1</v>
      </c>
      <c r="E222" s="8">
        <v>6</v>
      </c>
      <c r="F222" s="9">
        <f t="shared" si="57"/>
        <v>6</v>
      </c>
      <c r="G222" s="10">
        <f>IF(H222=111,IF(ISERROR(0/C222/D222/E222/I222/J222),"VOID",ROUND(I222+J222-IF(C222&lt;20,1.25*C222,1.75*C222),-1)),"FALSE")</f>
        <v>6110</v>
      </c>
      <c r="H222" s="11">
        <v>111</v>
      </c>
      <c r="I222" s="8">
        <v>150</v>
      </c>
      <c r="J222" s="8">
        <v>5980</v>
      </c>
      <c r="K222" s="36"/>
      <c r="L222" s="12"/>
      <c r="M222" s="37"/>
      <c r="N222" s="8"/>
      <c r="O222" s="8"/>
      <c r="P222" s="8"/>
      <c r="Q222" s="8"/>
      <c r="R222" s="8"/>
      <c r="S222" s="63"/>
      <c r="T222" s="34">
        <f>IF(C222="","",ROUND(CHOOSE(MATCH(C222,{5,6,7,8,10,12,14,16,18,20,22,25,28,32,40},0),0.154,0.222,0.302,0.395,0.617,0.888,1.209,1.579,1.998,2.467,2.985,3.855,4.836,6.316,9.868)*D222*E222*G222/1000,3))</f>
        <v>57.886000000000003</v>
      </c>
    </row>
    <row r="223" spans="1:20" ht="26.25" customHeight="1" x14ac:dyDescent="0.2">
      <c r="A223" s="6">
        <v>1631</v>
      </c>
      <c r="B223" s="6" t="s">
        <v>43</v>
      </c>
      <c r="C223" s="7">
        <v>16</v>
      </c>
      <c r="D223" s="8">
        <v>1</v>
      </c>
      <c r="E223" s="8">
        <v>6</v>
      </c>
      <c r="F223" s="9">
        <f t="shared" si="57"/>
        <v>6</v>
      </c>
      <c r="G223" s="10">
        <f>IF(H223=222,IF(ISERROR(0/C223/D223/E223/I223/J223/K223),"VOID",ROUND(I223+J223+K223,-1)),"FALSE")</f>
        <v>6670</v>
      </c>
      <c r="H223" s="11">
        <v>222</v>
      </c>
      <c r="I223" s="36">
        <v>500</v>
      </c>
      <c r="J223" s="36">
        <v>300</v>
      </c>
      <c r="K223" s="8">
        <v>5870</v>
      </c>
      <c r="L223" s="41">
        <v>50</v>
      </c>
      <c r="M223" s="8"/>
      <c r="N223" s="8"/>
      <c r="O223" s="8"/>
      <c r="P223" s="8"/>
      <c r="Q223" s="8"/>
      <c r="R223" s="8"/>
      <c r="S223" s="33"/>
      <c r="T223" s="34">
        <f>IF(C223="","",ROUND(CHOOSE(MATCH(C223,{5,6,7,8,10,12,14,16,18,20,22,25,28,32,40},0),0.154,0.222,0.302,0.395,0.617,0.888,1.209,1.579,1.998,2.467,2.985,3.855,4.836,6.316,9.868)*D223*E223*G223/1000,3))</f>
        <v>63.192</v>
      </c>
    </row>
    <row r="224" spans="1:20" ht="26.25" customHeight="1" x14ac:dyDescent="0.2">
      <c r="A224" s="6">
        <v>1632</v>
      </c>
      <c r="B224" s="6" t="s">
        <v>43</v>
      </c>
      <c r="C224" s="7">
        <v>16</v>
      </c>
      <c r="D224" s="8">
        <v>1</v>
      </c>
      <c r="E224" s="8">
        <v>2</v>
      </c>
      <c r="F224" s="9">
        <f t="shared" ref="F224:F227" si="59">D224*E224</f>
        <v>2</v>
      </c>
      <c r="G224" s="10">
        <f>IF(H224=483,IF(ISERROR(0/C224/D224/E224/I224/J224/K224/M224),"VOID",ROUND(I224+2*J224+K224+M224,-1)),"FALSE")</f>
        <v>4230</v>
      </c>
      <c r="H224" s="11">
        <v>483</v>
      </c>
      <c r="I224" s="8">
        <v>500</v>
      </c>
      <c r="J224" s="8">
        <v>300</v>
      </c>
      <c r="K224" s="36">
        <v>2625</v>
      </c>
      <c r="L224" s="12">
        <v>50</v>
      </c>
      <c r="M224" s="37">
        <v>500</v>
      </c>
      <c r="N224" s="8"/>
      <c r="O224" s="8"/>
      <c r="P224" s="8"/>
      <c r="Q224" s="8"/>
      <c r="R224" s="8"/>
      <c r="S224" s="33"/>
      <c r="T224" s="34">
        <f>IF(C224="","",ROUND(CHOOSE(MATCH(C224,{5,6,7,8,10,12,14,16,18,20,22,25,28,32,40},0),0.154,0.222,0.302,0.395,0.617,0.888,1.209,1.579,1.998,2.467,2.985,3.855,4.836,6.316,9.868)*D224*E224*G224/1000,3))</f>
        <v>13.358000000000001</v>
      </c>
    </row>
    <row r="225" spans="1:20" ht="26.25" customHeight="1" x14ac:dyDescent="0.2">
      <c r="A225" s="6">
        <v>1626</v>
      </c>
      <c r="B225" s="6" t="s">
        <v>44</v>
      </c>
      <c r="C225" s="7">
        <v>16</v>
      </c>
      <c r="D225" s="8">
        <v>1</v>
      </c>
      <c r="E225" s="8">
        <v>2</v>
      </c>
      <c r="F225" s="9">
        <f t="shared" si="59"/>
        <v>2</v>
      </c>
      <c r="G225" s="10">
        <f>IF(H225=310,IF(ISERROR(0/C225/D225/E225/I225/J225/K225/M225),"VOID",ROUND(I225+J225+K225+M225-IF(C225&lt;20,1.25*C225,1.75*C225),-1)),"FALSE")</f>
        <v>5310</v>
      </c>
      <c r="H225" s="11">
        <v>310</v>
      </c>
      <c r="I225" s="8">
        <v>500</v>
      </c>
      <c r="J225" s="8">
        <v>300</v>
      </c>
      <c r="K225" s="36">
        <v>4480</v>
      </c>
      <c r="L225" s="12">
        <v>150</v>
      </c>
      <c r="M225" s="37">
        <v>50</v>
      </c>
      <c r="N225" s="8"/>
      <c r="O225" s="8"/>
      <c r="P225" s="8"/>
      <c r="Q225" s="8"/>
      <c r="R225" s="8"/>
      <c r="S225" s="33"/>
      <c r="T225" s="34">
        <f>IF(C225="","",ROUND(CHOOSE(MATCH(C225,{5,6,7,8,10,12,14,16,18,20,22,25,28,32,40},0),0.154,0.222,0.302,0.395,0.617,0.888,1.209,1.579,1.998,2.467,2.985,3.855,4.836,6.316,9.868)*D225*E225*G225/1000,3))</f>
        <v>16.768999999999998</v>
      </c>
    </row>
    <row r="226" spans="1:20" ht="26.25" customHeight="1" x14ac:dyDescent="0.2">
      <c r="A226" s="6">
        <v>2027</v>
      </c>
      <c r="B226" s="6" t="s">
        <v>44</v>
      </c>
      <c r="C226" s="7">
        <v>20</v>
      </c>
      <c r="D226" s="8">
        <v>1</v>
      </c>
      <c r="E226" s="8">
        <v>10</v>
      </c>
      <c r="F226" s="9">
        <f t="shared" si="59"/>
        <v>10</v>
      </c>
      <c r="G226" s="10">
        <f>IF(H226=100,IF(ISERROR(0/C226/D226/E226/I226),"VOID",ROUND(I226,-1)),"FALSE")</f>
        <v>3000</v>
      </c>
      <c r="H226" s="11">
        <v>100</v>
      </c>
      <c r="I226" s="8">
        <v>3000</v>
      </c>
      <c r="J226" s="8"/>
      <c r="K226" s="36"/>
      <c r="L226" s="12"/>
      <c r="M226" s="37"/>
      <c r="N226" s="8"/>
      <c r="O226" s="8"/>
      <c r="P226" s="8"/>
      <c r="Q226" s="8"/>
      <c r="R226" s="8"/>
      <c r="S226" s="63"/>
      <c r="T226" s="34">
        <f>IF(C226="","",ROUND(CHOOSE(MATCH(C226,{5,6,7,8,10,12,14,16,18,20,22,25,28,32,40},0),0.154,0.222,0.302,0.395,0.617,0.888,1.209,1.579,1.998,2.467,2.985,3.855,4.836,6.316,9.868)*D226*E226*G226/1000,3))</f>
        <v>74.010000000000005</v>
      </c>
    </row>
    <row r="227" spans="1:20" ht="26.25" customHeight="1" x14ac:dyDescent="0.2">
      <c r="A227" s="6">
        <v>1628</v>
      </c>
      <c r="B227" s="6" t="s">
        <v>44</v>
      </c>
      <c r="C227" s="7">
        <v>16</v>
      </c>
      <c r="D227" s="8">
        <v>1</v>
      </c>
      <c r="E227" s="8">
        <v>4</v>
      </c>
      <c r="F227" s="9">
        <f t="shared" si="59"/>
        <v>4</v>
      </c>
      <c r="G227" s="10">
        <f>IF(H227=483,IF(ISERROR(0/C227/D227/E227/I227/J227/K227/M227),"VOID",ROUND(I227+2*J227+K227+M227,-1)),"FALSE")</f>
        <v>4470</v>
      </c>
      <c r="H227" s="11">
        <v>483</v>
      </c>
      <c r="I227" s="36">
        <v>500</v>
      </c>
      <c r="J227" s="36">
        <v>300</v>
      </c>
      <c r="K227" s="50">
        <v>2870</v>
      </c>
      <c r="L227" s="54">
        <v>50</v>
      </c>
      <c r="M227" s="50">
        <v>500</v>
      </c>
      <c r="N227" s="8"/>
      <c r="O227" s="8"/>
      <c r="P227" s="8"/>
      <c r="Q227" s="8"/>
      <c r="R227" s="8"/>
      <c r="S227" s="33"/>
      <c r="T227" s="34">
        <f>IF(C227="","",ROUND(CHOOSE(MATCH(C227,{5,6,7,8,10,12,14,16,18,20,22,25,28,32,40},0),0.154,0.222,0.302,0.395,0.617,0.888,1.209,1.579,1.998,2.467,2.985,3.855,4.836,6.316,9.868)*D227*E227*G227/1000,3))</f>
        <v>28.233000000000001</v>
      </c>
    </row>
    <row r="228" spans="1:20" ht="26.25" customHeight="1" x14ac:dyDescent="0.2">
      <c r="A228" s="6">
        <v>1630</v>
      </c>
      <c r="B228" s="6" t="s">
        <v>44</v>
      </c>
      <c r="C228" s="7">
        <v>16</v>
      </c>
      <c r="D228" s="8">
        <v>1</v>
      </c>
      <c r="E228" s="8">
        <v>8</v>
      </c>
      <c r="F228" s="9">
        <f t="shared" ref="F228:F232" si="60">D228*E228</f>
        <v>8</v>
      </c>
      <c r="G228" s="10">
        <f>IF(H228=111,IF(ISERROR(0/C228/D228/E228/I228/J228),"VOID",ROUND(I228+J228-IF(C228&lt;20,1.25*C228,1.75*C228),-1)),"FALSE")</f>
        <v>6110</v>
      </c>
      <c r="H228" s="11">
        <v>111</v>
      </c>
      <c r="I228" s="8">
        <v>150</v>
      </c>
      <c r="J228" s="36">
        <v>5980</v>
      </c>
      <c r="K228" s="36"/>
      <c r="L228" s="38"/>
      <c r="M228" s="8"/>
      <c r="N228" s="37"/>
      <c r="O228" s="8"/>
      <c r="P228" s="8"/>
      <c r="Q228" s="8"/>
      <c r="R228" s="8"/>
      <c r="S228" s="63"/>
      <c r="T228" s="34">
        <f>IF(C228="","",ROUND(CHOOSE(MATCH(C228,{5,6,7,8,10,12,14,16,18,20,22,25,28,32,40},0),0.154,0.222,0.302,0.395,0.617,0.888,1.209,1.579,1.998,2.467,2.985,3.855,4.836,6.316,9.868)*D228*E228*G228/1000,3))</f>
        <v>77.182000000000002</v>
      </c>
    </row>
    <row r="229" spans="1:20" ht="26.25" customHeight="1" x14ac:dyDescent="0.2">
      <c r="A229" s="6">
        <v>1631</v>
      </c>
      <c r="B229" s="6" t="s">
        <v>44</v>
      </c>
      <c r="C229" s="7">
        <v>16</v>
      </c>
      <c r="D229" s="8">
        <v>1</v>
      </c>
      <c r="E229" s="8">
        <v>8</v>
      </c>
      <c r="F229" s="9">
        <f t="shared" si="60"/>
        <v>8</v>
      </c>
      <c r="G229" s="10">
        <f>IF(H229=222,IF(ISERROR(0/C229/D229/E229/I229/J229/K229),"VOID",ROUND(I229+J229+K229,-1)),"FALSE")</f>
        <v>6670</v>
      </c>
      <c r="H229" s="11">
        <v>222</v>
      </c>
      <c r="I229" s="8">
        <v>500</v>
      </c>
      <c r="J229" s="8">
        <v>300</v>
      </c>
      <c r="K229" s="36">
        <v>5870</v>
      </c>
      <c r="L229" s="12">
        <v>50</v>
      </c>
      <c r="M229" s="37"/>
      <c r="N229" s="8"/>
      <c r="O229" s="8"/>
      <c r="P229" s="8"/>
      <c r="Q229" s="8"/>
      <c r="R229" s="8"/>
      <c r="S229" s="33"/>
      <c r="T229" s="34">
        <f>IF(C229="","",ROUND(CHOOSE(MATCH(C229,{5,6,7,8,10,12,14,16,18,20,22,25,28,32,40},0),0.154,0.222,0.302,0.395,0.617,0.888,1.209,1.579,1.998,2.467,2.985,3.855,4.836,6.316,9.868)*D229*E229*G229/1000,3))</f>
        <v>84.254999999999995</v>
      </c>
    </row>
    <row r="230" spans="1:20" ht="26.25" customHeight="1" x14ac:dyDescent="0.2">
      <c r="A230" s="6">
        <v>1632</v>
      </c>
      <c r="B230" s="6" t="s">
        <v>44</v>
      </c>
      <c r="C230" s="7">
        <v>16</v>
      </c>
      <c r="D230" s="8">
        <v>1</v>
      </c>
      <c r="E230" s="8">
        <v>2</v>
      </c>
      <c r="F230" s="9">
        <f t="shared" si="60"/>
        <v>2</v>
      </c>
      <c r="G230" s="10">
        <f>IF(H230=483,IF(ISERROR(0/C230/D230/E230/I230/J230/K230/M230),"VOID",ROUND(I230+2*J230+K230+M230,-1)),"FALSE")</f>
        <v>4230</v>
      </c>
      <c r="H230" s="11">
        <v>483</v>
      </c>
      <c r="I230" s="8">
        <v>500</v>
      </c>
      <c r="J230" s="50">
        <v>300</v>
      </c>
      <c r="K230" s="55">
        <v>2625</v>
      </c>
      <c r="L230" s="12">
        <v>50</v>
      </c>
      <c r="M230" s="37">
        <v>500</v>
      </c>
      <c r="N230" s="8"/>
      <c r="O230" s="8"/>
      <c r="P230" s="8"/>
      <c r="Q230" s="8"/>
      <c r="R230" s="8"/>
      <c r="S230" s="33"/>
      <c r="T230" s="34">
        <f>IF(C230="","",ROUND(CHOOSE(MATCH(C230,{5,6,7,8,10,12,14,16,18,20,22,25,28,32,40},0),0.154,0.222,0.302,0.395,0.617,0.888,1.209,1.579,1.998,2.467,2.985,3.855,4.836,6.316,9.868)*D230*E230*G230/1000,3))</f>
        <v>13.358000000000001</v>
      </c>
    </row>
    <row r="231" spans="1:20" ht="26.25" customHeight="1" x14ac:dyDescent="0.2">
      <c r="A231" s="6">
        <v>2033</v>
      </c>
      <c r="B231" s="6" t="s">
        <v>44</v>
      </c>
      <c r="C231" s="7">
        <v>20</v>
      </c>
      <c r="D231" s="8">
        <v>1</v>
      </c>
      <c r="E231" s="8">
        <v>3</v>
      </c>
      <c r="F231" s="9">
        <f t="shared" ref="F231" si="61">D231*E231</f>
        <v>3</v>
      </c>
      <c r="G231" s="10">
        <f>IF(H231=100,IF(ISERROR(0/C231/D231/E231/I231),"VOID",ROUND(I231,-1)),"FALSE")</f>
        <v>5630</v>
      </c>
      <c r="H231" s="11">
        <v>100</v>
      </c>
      <c r="I231" s="36">
        <v>5625</v>
      </c>
      <c r="J231" s="36"/>
      <c r="K231" s="8"/>
      <c r="L231" s="41"/>
      <c r="M231" s="37"/>
      <c r="N231" s="8"/>
      <c r="O231" s="8"/>
      <c r="P231" s="8"/>
      <c r="Q231" s="8"/>
      <c r="R231" s="8"/>
      <c r="S231" s="63"/>
      <c r="T231" s="34">
        <f>IF(C231="","",ROUND(CHOOSE(MATCH(C231,{5,6,7,8,10,12,14,16,18,20,22,25,28,32,40},0),0.154,0.222,0.302,0.395,0.617,0.888,1.209,1.579,1.998,2.467,2.985,3.855,4.836,6.316,9.868)*D231*E231*G231/1000,3))</f>
        <v>41.667999999999999</v>
      </c>
    </row>
    <row r="232" spans="1:20" ht="26.25" customHeight="1" x14ac:dyDescent="0.2">
      <c r="A232" s="6">
        <v>1006</v>
      </c>
      <c r="B232" s="6" t="s">
        <v>44</v>
      </c>
      <c r="C232" s="7">
        <v>10</v>
      </c>
      <c r="D232" s="8">
        <v>1</v>
      </c>
      <c r="E232" s="8">
        <v>151</v>
      </c>
      <c r="F232" s="9">
        <f t="shared" si="60"/>
        <v>151</v>
      </c>
      <c r="G232" s="10">
        <f>IF(H232=500,IF(ISERROR(0/C232/D232/E232/I232/J232/K232),"VOID",ROUND(2*(I232+J232+K232)-IF(C232&lt;20,6.25*C232,8.75*C232),-1)),"FALSE")</f>
        <v>1150</v>
      </c>
      <c r="H232" s="11">
        <v>500</v>
      </c>
      <c r="I232" s="36">
        <v>175</v>
      </c>
      <c r="J232" s="36">
        <v>300</v>
      </c>
      <c r="K232" s="8">
        <f>CEILING(MAX(C232*13,),5)</f>
        <v>130</v>
      </c>
      <c r="L232" s="41"/>
      <c r="M232" s="8"/>
      <c r="N232" s="8"/>
      <c r="O232" s="8"/>
      <c r="P232" s="8"/>
      <c r="Q232" s="8"/>
      <c r="R232" s="8"/>
      <c r="S232" s="63"/>
      <c r="T232" s="34">
        <f>IF(C232="","",ROUND(CHOOSE(MATCH(C232,{5,6,7,8,10,12,14,16,18,20,22,25,28,32,40},0),0.154,0.222,0.302,0.395,0.617,0.888,1.209,1.579,1.998,2.467,2.985,3.855,4.836,6.316,9.868)*D232*E232*G232/1000,3))</f>
        <v>107.142</v>
      </c>
    </row>
    <row r="233" spans="1:20" ht="26.25" customHeight="1" x14ac:dyDescent="0.2">
      <c r="A233" s="6">
        <v>1634</v>
      </c>
      <c r="B233" s="6" t="s">
        <v>45</v>
      </c>
      <c r="C233" s="7">
        <v>16</v>
      </c>
      <c r="D233" s="8">
        <v>1</v>
      </c>
      <c r="E233" s="8">
        <v>2</v>
      </c>
      <c r="F233" s="9">
        <f t="shared" ref="F233:F236" si="62">D233*E233</f>
        <v>2</v>
      </c>
      <c r="G233" s="10">
        <f>IF(H233=310,IF(ISERROR(0/C233/D233/E233/I233/J233/K233/M233),"VOID",ROUND(I233+J233+K233+M233-IF(C233&lt;20,1.25*C233,1.75*C233),-1)),"FALSE")</f>
        <v>5780</v>
      </c>
      <c r="H233" s="11">
        <v>310</v>
      </c>
      <c r="I233" s="8">
        <v>500</v>
      </c>
      <c r="J233" s="8">
        <v>300</v>
      </c>
      <c r="K233" s="36">
        <v>4850</v>
      </c>
      <c r="L233" s="12">
        <v>50</v>
      </c>
      <c r="M233" s="37">
        <v>150</v>
      </c>
      <c r="N233" s="8"/>
      <c r="O233" s="8"/>
      <c r="P233" s="8"/>
      <c r="Q233" s="8"/>
      <c r="R233" s="8"/>
      <c r="S233" s="33"/>
      <c r="T233" s="34">
        <f>IF(C233="","",ROUND(CHOOSE(MATCH(C233,{5,6,7,8,10,12,14,16,18,20,22,25,28,32,40},0),0.154,0.222,0.302,0.395,0.617,0.888,1.209,1.579,1.998,2.467,2.985,3.855,4.836,6.316,9.868)*D233*E233*G233/1000,3))</f>
        <v>18.253</v>
      </c>
    </row>
    <row r="234" spans="1:20" ht="54.75" customHeight="1" x14ac:dyDescent="0.2">
      <c r="A234" s="6">
        <v>1635</v>
      </c>
      <c r="B234" s="6" t="s">
        <v>45</v>
      </c>
      <c r="C234" s="7">
        <v>16</v>
      </c>
      <c r="D234" s="8">
        <v>1</v>
      </c>
      <c r="E234" s="8">
        <v>2</v>
      </c>
      <c r="F234" s="9">
        <f t="shared" si="62"/>
        <v>2</v>
      </c>
      <c r="G234" s="10">
        <f>IF(H234=222,IF(ISERROR(0/C234/D234/E234/I234/J234/K234),"VOID",ROUND(I234+J234+K234,-1)),"FALSE")</f>
        <v>12480</v>
      </c>
      <c r="H234" s="11">
        <v>222</v>
      </c>
      <c r="I234" s="8">
        <v>500</v>
      </c>
      <c r="J234" s="8">
        <v>300</v>
      </c>
      <c r="K234" s="55">
        <v>11676</v>
      </c>
      <c r="L234" s="12">
        <v>50</v>
      </c>
      <c r="M234" s="37"/>
      <c r="N234" s="8"/>
      <c r="O234" s="8"/>
      <c r="P234" s="8"/>
      <c r="Q234" s="8"/>
      <c r="R234" s="8"/>
      <c r="S234" s="33"/>
      <c r="T234" s="34">
        <f>IF(C234="","",ROUND(CHOOSE(MATCH(C234,{5,6,7,8,10,12,14,16,18,20,22,25,28,32,40},0),0.154,0.222,0.302,0.395,0.617,0.888,1.209,1.579,1.998,2.467,2.985,3.855,4.836,6.316,9.868)*D234*E234*G234/1000,3))</f>
        <v>39.411999999999999</v>
      </c>
    </row>
    <row r="235" spans="1:20" ht="26.25" customHeight="1" x14ac:dyDescent="0.2">
      <c r="A235" s="6">
        <v>1636</v>
      </c>
      <c r="B235" s="6" t="s">
        <v>45</v>
      </c>
      <c r="C235" s="7">
        <v>16</v>
      </c>
      <c r="D235" s="8">
        <v>1</v>
      </c>
      <c r="E235" s="8">
        <v>2</v>
      </c>
      <c r="F235" s="9">
        <f t="shared" si="62"/>
        <v>2</v>
      </c>
      <c r="G235" s="10">
        <f>IF(H235=111,IF(ISERROR(0/C235/D235/E235/I235/J235),"VOID",ROUND(I235+J235-IF(C235&lt;20,1.25*C235,1.75*C235),-1)),"FALSE")</f>
        <v>10010</v>
      </c>
      <c r="H235" s="11">
        <v>111</v>
      </c>
      <c r="I235" s="8">
        <v>150</v>
      </c>
      <c r="J235" s="36">
        <v>9875</v>
      </c>
      <c r="K235" s="8"/>
      <c r="L235" s="41"/>
      <c r="M235" s="37"/>
      <c r="N235" s="8"/>
      <c r="O235" s="8"/>
      <c r="P235" s="8"/>
      <c r="Q235" s="8"/>
      <c r="R235" s="8"/>
      <c r="S235" s="63"/>
      <c r="T235" s="34">
        <f>IF(C235="","",ROUND(CHOOSE(MATCH(C235,{5,6,7,8,10,12,14,16,18,20,22,25,28,32,40},0),0.154,0.222,0.302,0.395,0.617,0.888,1.209,1.579,1.998,2.467,2.985,3.855,4.836,6.316,9.868)*D235*E235*G235/1000,3))</f>
        <v>31.611999999999998</v>
      </c>
    </row>
    <row r="236" spans="1:20" ht="26.25" customHeight="1" x14ac:dyDescent="0.2">
      <c r="A236" s="6">
        <v>1637</v>
      </c>
      <c r="B236" s="6" t="s">
        <v>45</v>
      </c>
      <c r="C236" s="7">
        <v>16</v>
      </c>
      <c r="D236" s="8">
        <v>1</v>
      </c>
      <c r="E236" s="8">
        <v>2</v>
      </c>
      <c r="F236" s="9">
        <f t="shared" si="62"/>
        <v>2</v>
      </c>
      <c r="G236" s="10">
        <f>IF(H236=310,IF(ISERROR(0/C236/D236/E236/I236/J236/K236/M236),"VOID",ROUND(I236+J236+K236+M236-IF(C236&lt;20,1.25*C236,1.75*C236),-1)),"FALSE")</f>
        <v>8810</v>
      </c>
      <c r="H236" s="11">
        <v>310</v>
      </c>
      <c r="I236" s="36">
        <v>500</v>
      </c>
      <c r="J236" s="55">
        <v>300</v>
      </c>
      <c r="K236" s="50">
        <v>7875</v>
      </c>
      <c r="L236" s="54">
        <v>50</v>
      </c>
      <c r="M236" s="50">
        <v>150</v>
      </c>
      <c r="N236" s="8"/>
      <c r="O236" s="8"/>
      <c r="P236" s="8"/>
      <c r="Q236" s="8"/>
      <c r="R236" s="8"/>
      <c r="S236" s="33"/>
      <c r="T236" s="34">
        <f>IF(C236="","",ROUND(CHOOSE(MATCH(C236,{5,6,7,8,10,12,14,16,18,20,22,25,28,32,40},0),0.154,0.222,0.302,0.395,0.617,0.888,1.209,1.579,1.998,2.467,2.985,3.855,4.836,6.316,9.868)*D236*E236*G236/1000,3))</f>
        <v>27.821999999999999</v>
      </c>
    </row>
    <row r="237" spans="1:20" ht="26.25" customHeight="1" x14ac:dyDescent="0.2">
      <c r="A237" s="6">
        <v>1638</v>
      </c>
      <c r="B237" s="6" t="s">
        <v>45</v>
      </c>
      <c r="C237" s="7">
        <v>16</v>
      </c>
      <c r="D237" s="8">
        <v>1</v>
      </c>
      <c r="E237" s="8">
        <v>2</v>
      </c>
      <c r="F237" s="9">
        <f t="shared" ref="F237:F249" si="63">D237*E237</f>
        <v>2</v>
      </c>
      <c r="G237" s="10">
        <f>IF(H237=100,IF(ISERROR(0/C237/D237/E237/I237),"VOID",ROUND(I237,-1)),"FALSE")</f>
        <v>10380</v>
      </c>
      <c r="H237" s="11">
        <v>100</v>
      </c>
      <c r="I237" s="36">
        <v>10379</v>
      </c>
      <c r="J237" s="36"/>
      <c r="K237" s="36"/>
      <c r="L237" s="38"/>
      <c r="M237" s="8"/>
      <c r="N237" s="37"/>
      <c r="O237" s="8"/>
      <c r="P237" s="8"/>
      <c r="Q237" s="8"/>
      <c r="R237" s="8"/>
      <c r="S237" s="63"/>
      <c r="T237" s="34">
        <f>IF(C237="","",ROUND(CHOOSE(MATCH(C237,{5,6,7,8,10,12,14,16,18,20,22,25,28,32,40},0),0.154,0.222,0.302,0.395,0.617,0.888,1.209,1.579,1.998,2.467,2.985,3.855,4.836,6.316,9.868)*D237*E237*G237/1000,3))</f>
        <v>32.78</v>
      </c>
    </row>
    <row r="238" spans="1:20" ht="26.25" customHeight="1" x14ac:dyDescent="0.2">
      <c r="A238" s="6">
        <v>1639</v>
      </c>
      <c r="B238" s="6" t="s">
        <v>45</v>
      </c>
      <c r="C238" s="7">
        <v>16</v>
      </c>
      <c r="D238" s="8">
        <v>1</v>
      </c>
      <c r="E238" s="8">
        <v>2</v>
      </c>
      <c r="F238" s="9">
        <f t="shared" si="63"/>
        <v>2</v>
      </c>
      <c r="G238" s="10">
        <f>IF(H238=310,IF(ISERROR(0/C238/D238/E238/I238/J238/K238/M238),"VOID",ROUND(I238+J238+K238+M238-IF(C238&lt;20,1.25*C238,1.75*C238),-1)),"FALSE")</f>
        <v>11730</v>
      </c>
      <c r="H238" s="11">
        <v>310</v>
      </c>
      <c r="I238" s="8">
        <v>500</v>
      </c>
      <c r="J238" s="8">
        <v>300</v>
      </c>
      <c r="K238" s="36">
        <v>10800</v>
      </c>
      <c r="L238" s="52">
        <v>50</v>
      </c>
      <c r="M238" s="66">
        <v>150</v>
      </c>
      <c r="N238" s="8"/>
      <c r="O238" s="8"/>
      <c r="P238" s="8"/>
      <c r="Q238" s="8"/>
      <c r="R238" s="8"/>
      <c r="S238" s="33"/>
      <c r="T238" s="34">
        <f>IF(C238="","",ROUND(CHOOSE(MATCH(C238,{5,6,7,8,10,12,14,16,18,20,22,25,28,32,40},0),0.154,0.222,0.302,0.395,0.617,0.888,1.209,1.579,1.998,2.467,2.985,3.855,4.836,6.316,9.868)*D238*E238*G238/1000,3))</f>
        <v>37.042999999999999</v>
      </c>
    </row>
    <row r="239" spans="1:20" ht="54.75" customHeight="1" x14ac:dyDescent="0.2">
      <c r="A239" s="6">
        <v>1006</v>
      </c>
      <c r="B239" s="6" t="s">
        <v>45</v>
      </c>
      <c r="C239" s="7">
        <v>10</v>
      </c>
      <c r="D239" s="8">
        <v>1</v>
      </c>
      <c r="E239" s="8">
        <v>105</v>
      </c>
      <c r="F239" s="9">
        <f t="shared" si="63"/>
        <v>105</v>
      </c>
      <c r="G239" s="10">
        <f>IF(H239=500,IF(ISERROR(0/C239/D239/E239/I239/J239/K239),"VOID",ROUND(2*(I239+J239+K239)-IF(C239&lt;20,6.25*C239,8.75*C239),-1)),"FALSE")</f>
        <v>1150</v>
      </c>
      <c r="H239" s="11">
        <v>500</v>
      </c>
      <c r="I239" s="8">
        <v>175</v>
      </c>
      <c r="J239" s="8">
        <v>300</v>
      </c>
      <c r="K239" s="36">
        <f>CEILING(MAX(C239*13,),5)</f>
        <v>130</v>
      </c>
      <c r="L239" s="38"/>
      <c r="M239" s="8"/>
      <c r="N239" s="37"/>
      <c r="O239" s="8"/>
      <c r="P239" s="8"/>
      <c r="Q239" s="8"/>
      <c r="R239" s="8"/>
      <c r="S239" s="63"/>
      <c r="T239" s="34">
        <f>IF(C239="","",ROUND(CHOOSE(MATCH(C239,{5,6,7,8,10,12,14,16,18,20,22,25,28,32,40},0),0.154,0.222,0.302,0.395,0.617,0.888,1.209,1.579,1.998,2.467,2.985,3.855,4.836,6.316,9.868)*D239*E239*G239/1000,3))</f>
        <v>74.503</v>
      </c>
    </row>
    <row r="240" spans="1:20" ht="26.25" customHeight="1" x14ac:dyDescent="0.2">
      <c r="A240" s="6">
        <v>1634</v>
      </c>
      <c r="B240" s="6" t="s">
        <v>74</v>
      </c>
      <c r="C240" s="7">
        <v>16</v>
      </c>
      <c r="D240" s="8">
        <v>1</v>
      </c>
      <c r="E240" s="8">
        <v>2</v>
      </c>
      <c r="F240" s="9">
        <f t="shared" si="63"/>
        <v>2</v>
      </c>
      <c r="G240" s="10">
        <f>IF(H240=310,IF(ISERROR(0/C240/D240/E240/I240/J240/K240/M240),"VOID",ROUND(I240+J240+K240+M240-IF(C240&lt;20,1.25*C240,1.75*C240),-1)),"FALSE")</f>
        <v>5780</v>
      </c>
      <c r="H240" s="11">
        <v>310</v>
      </c>
      <c r="I240" s="8">
        <v>500</v>
      </c>
      <c r="J240" s="8">
        <v>300</v>
      </c>
      <c r="K240" s="36">
        <v>4850</v>
      </c>
      <c r="L240" s="12">
        <v>50</v>
      </c>
      <c r="M240" s="37">
        <v>150</v>
      </c>
      <c r="N240" s="8"/>
      <c r="O240" s="8"/>
      <c r="P240" s="8"/>
      <c r="Q240" s="8"/>
      <c r="R240" s="8"/>
      <c r="S240" s="33"/>
      <c r="T240" s="34">
        <f>IF(C240="","",ROUND(CHOOSE(MATCH(C240,{5,6,7,8,10,12,14,16,18,20,22,25,28,32,40},0),0.154,0.222,0.302,0.395,0.617,0.888,1.209,1.579,1.998,2.467,2.985,3.855,4.836,6.316,9.868)*D240*E240*G240/1000,3))</f>
        <v>18.253</v>
      </c>
    </row>
    <row r="241" spans="1:20" ht="26.25" customHeight="1" x14ac:dyDescent="0.2">
      <c r="A241" s="6">
        <v>1640</v>
      </c>
      <c r="B241" s="6" t="s">
        <v>74</v>
      </c>
      <c r="C241" s="7">
        <v>16</v>
      </c>
      <c r="D241" s="8">
        <v>1</v>
      </c>
      <c r="E241" s="8">
        <v>2</v>
      </c>
      <c r="F241" s="9">
        <f t="shared" si="63"/>
        <v>2</v>
      </c>
      <c r="G241" s="10">
        <f>IF(H241=222,IF(ISERROR(0/C241/D241/E241/I241/J241/K241),"VOID",ROUND(I241+J241+K241,-1)),"FALSE")</f>
        <v>15600</v>
      </c>
      <c r="H241" s="11">
        <v>222</v>
      </c>
      <c r="I241" s="8">
        <v>500</v>
      </c>
      <c r="J241" s="50">
        <v>300</v>
      </c>
      <c r="K241" s="55">
        <v>14801</v>
      </c>
      <c r="L241" s="12">
        <v>50</v>
      </c>
      <c r="M241" s="37"/>
      <c r="N241" s="8"/>
      <c r="O241" s="8"/>
      <c r="P241" s="8"/>
      <c r="Q241" s="8"/>
      <c r="R241" s="8"/>
      <c r="S241" s="33"/>
      <c r="T241" s="34">
        <f>IF(C241="","",ROUND(CHOOSE(MATCH(C241,{5,6,7,8,10,12,14,16,18,20,22,25,28,32,40},0),0.154,0.222,0.302,0.395,0.617,0.888,1.209,1.579,1.998,2.467,2.985,3.855,4.836,6.316,9.868)*D241*E241*G241/1000,3))</f>
        <v>49.265000000000001</v>
      </c>
    </row>
    <row r="242" spans="1:20" ht="26.25" customHeight="1" x14ac:dyDescent="0.2">
      <c r="A242" s="6">
        <v>1641</v>
      </c>
      <c r="B242" s="6" t="s">
        <v>74</v>
      </c>
      <c r="C242" s="7">
        <v>16</v>
      </c>
      <c r="D242" s="8">
        <v>1</v>
      </c>
      <c r="E242" s="8">
        <v>4</v>
      </c>
      <c r="F242" s="9">
        <f t="shared" si="63"/>
        <v>4</v>
      </c>
      <c r="G242" s="10">
        <f>IF(H242=100,IF(ISERROR(0/C242/D242/E242/I242),"VOID",ROUND(I242,-1)),"FALSE")</f>
        <v>2600</v>
      </c>
      <c r="H242" s="11">
        <v>100</v>
      </c>
      <c r="I242" s="36">
        <v>2600</v>
      </c>
      <c r="J242" s="8"/>
      <c r="K242" s="37"/>
      <c r="L242" s="41"/>
      <c r="M242" s="37"/>
      <c r="N242" s="8"/>
      <c r="O242" s="8"/>
      <c r="P242" s="8"/>
      <c r="Q242" s="8"/>
      <c r="R242" s="8"/>
      <c r="S242" s="67"/>
      <c r="T242" s="34">
        <f>IF(C242="","",ROUND(CHOOSE(MATCH(C242,{5,6,7,8,10,12,14,16,18,20,22,25,28,32,40},0),0.154,0.222,0.302,0.395,0.617,0.888,1.209,1.579,1.998,2.467,2.985,3.855,4.836,6.316,9.868)*D242*E242*G242/1000,3))</f>
        <v>16.422000000000001</v>
      </c>
    </row>
    <row r="243" spans="1:20" ht="26.25" customHeight="1" x14ac:dyDescent="0.2">
      <c r="A243" s="6">
        <v>1642</v>
      </c>
      <c r="B243" s="6" t="s">
        <v>74</v>
      </c>
      <c r="C243" s="7">
        <v>16</v>
      </c>
      <c r="D243" s="8">
        <v>1</v>
      </c>
      <c r="E243" s="8">
        <v>2</v>
      </c>
      <c r="F243" s="9">
        <f t="shared" si="63"/>
        <v>2</v>
      </c>
      <c r="G243" s="10">
        <f>IF(H243=310,IF(ISERROR(0/C243/D243/E243/I243/J243/K243/M243),"VOID",ROUND(I243+J243+K243+M243-IF(C243&lt;20,1.25*C243,1.75*C243),-1)),"FALSE")</f>
        <v>5080</v>
      </c>
      <c r="H243" s="11">
        <v>310</v>
      </c>
      <c r="I243" s="36">
        <v>500</v>
      </c>
      <c r="J243" s="36">
        <v>300</v>
      </c>
      <c r="K243" s="8">
        <v>4150</v>
      </c>
      <c r="L243" s="41">
        <v>50</v>
      </c>
      <c r="M243" s="8">
        <v>150</v>
      </c>
      <c r="N243" s="8"/>
      <c r="O243" s="8"/>
      <c r="P243" s="8"/>
      <c r="Q243" s="8"/>
      <c r="R243" s="8"/>
      <c r="S243" s="33"/>
      <c r="T243" s="34">
        <f>IF(C243="","",ROUND(CHOOSE(MATCH(C243,{5,6,7,8,10,12,14,16,18,20,22,25,28,32,40},0),0.154,0.222,0.302,0.395,0.617,0.888,1.209,1.579,1.998,2.467,2.985,3.855,4.836,6.316,9.868)*D243*E243*G243/1000,3))</f>
        <v>16.042999999999999</v>
      </c>
    </row>
    <row r="244" spans="1:20" ht="26.25" customHeight="1" x14ac:dyDescent="0.2">
      <c r="A244" s="6">
        <v>1644</v>
      </c>
      <c r="B244" s="6" t="s">
        <v>74</v>
      </c>
      <c r="C244" s="7">
        <v>16</v>
      </c>
      <c r="D244" s="8">
        <v>1</v>
      </c>
      <c r="E244" s="8">
        <v>2</v>
      </c>
      <c r="F244" s="9">
        <f t="shared" ref="F244:F247" si="64">D244*E244</f>
        <v>2</v>
      </c>
      <c r="G244" s="10">
        <f>IF(H244=310,IF(ISERROR(0/C244/D244/E244/I244/J244/K244/M244),"VOID",ROUND(I244+J244+K244+M244-IF(C244&lt;20,1.25*C244,1.75*C244),-1)),"FALSE")</f>
        <v>12670</v>
      </c>
      <c r="H244" s="11">
        <v>310</v>
      </c>
      <c r="I244" s="36">
        <v>500</v>
      </c>
      <c r="J244" s="55">
        <v>300</v>
      </c>
      <c r="K244" s="55">
        <v>11738</v>
      </c>
      <c r="L244" s="57">
        <v>50</v>
      </c>
      <c r="M244" s="50">
        <v>150</v>
      </c>
      <c r="N244" s="37"/>
      <c r="O244" s="8"/>
      <c r="P244" s="8"/>
      <c r="Q244" s="8"/>
      <c r="R244" s="8"/>
      <c r="S244" s="33"/>
      <c r="T244" s="34">
        <f>IF(C244="","",ROUND(CHOOSE(MATCH(C244,{5,6,7,8,10,12,14,16,18,20,22,25,28,32,40},0),0.154,0.222,0.302,0.395,0.617,0.888,1.209,1.579,1.998,2.467,2.985,3.855,4.836,6.316,9.868)*D244*E244*G244/1000,3))</f>
        <v>40.012</v>
      </c>
    </row>
    <row r="245" spans="1:20" ht="26.25" customHeight="1" x14ac:dyDescent="0.2">
      <c r="A245" s="6">
        <v>1645</v>
      </c>
      <c r="B245" s="6" t="s">
        <v>74</v>
      </c>
      <c r="C245" s="7">
        <v>16</v>
      </c>
      <c r="D245" s="8">
        <v>1</v>
      </c>
      <c r="E245" s="8">
        <v>2</v>
      </c>
      <c r="F245" s="9">
        <f t="shared" si="64"/>
        <v>2</v>
      </c>
      <c r="G245" s="10">
        <f>IF(H245=100,IF(ISERROR(0/C245/D245/E245/I245),"VOID",ROUND(I245,-1)),"FALSE")</f>
        <v>8810</v>
      </c>
      <c r="H245" s="11">
        <v>100</v>
      </c>
      <c r="I245" s="36">
        <v>8813</v>
      </c>
      <c r="J245" s="36"/>
      <c r="K245" s="36"/>
      <c r="L245" s="38"/>
      <c r="M245" s="8"/>
      <c r="N245" s="37"/>
      <c r="O245" s="8"/>
      <c r="P245" s="8"/>
      <c r="Q245" s="8"/>
      <c r="R245" s="8"/>
      <c r="S245" s="67"/>
      <c r="T245" s="34">
        <f>IF(C245="","",ROUND(CHOOSE(MATCH(C245,{5,6,7,8,10,12,14,16,18,20,22,25,28,32,40},0),0.154,0.222,0.302,0.395,0.617,0.888,1.209,1.579,1.998,2.467,2.985,3.855,4.836,6.316,9.868)*D245*E245*G245/1000,3))</f>
        <v>27.821999999999999</v>
      </c>
    </row>
    <row r="246" spans="1:20" ht="26.25" customHeight="1" x14ac:dyDescent="0.2">
      <c r="A246" s="6">
        <v>1646</v>
      </c>
      <c r="B246" s="6" t="s">
        <v>74</v>
      </c>
      <c r="C246" s="7">
        <v>16</v>
      </c>
      <c r="D246" s="8">
        <v>1</v>
      </c>
      <c r="E246" s="8">
        <v>3</v>
      </c>
      <c r="F246" s="9">
        <f t="shared" ref="F246" si="65">D246*E246</f>
        <v>3</v>
      </c>
      <c r="G246" s="10">
        <f>IF(H246=310,IF(ISERROR(0/C246/D246/E246/I246/J246/K246/M246),"VOID",ROUND(I246+J246+K246+M246-IF(C246&lt;20,1.25*C246,1.75*C246),-1)),"FALSE")</f>
        <v>6430</v>
      </c>
      <c r="H246" s="11">
        <v>310</v>
      </c>
      <c r="I246" s="36">
        <v>500</v>
      </c>
      <c r="J246" s="36">
        <v>300</v>
      </c>
      <c r="K246" s="36">
        <v>5500</v>
      </c>
      <c r="L246" s="38">
        <v>50</v>
      </c>
      <c r="M246" s="8">
        <v>150</v>
      </c>
      <c r="N246" s="37"/>
      <c r="O246" s="8"/>
      <c r="P246" s="8"/>
      <c r="Q246" s="8"/>
      <c r="R246" s="8"/>
      <c r="S246" s="33"/>
      <c r="T246" s="34">
        <f>IF(C246="","",ROUND(CHOOSE(MATCH(C246,{5,6,7,8,10,12,14,16,18,20,22,25,28,32,40},0),0.154,0.222,0.302,0.395,0.617,0.888,1.209,1.579,1.998,2.467,2.985,3.855,4.836,6.316,9.868)*D246*E246*G246/1000,3))</f>
        <v>30.459</v>
      </c>
    </row>
    <row r="247" spans="1:20" ht="26.25" customHeight="1" x14ac:dyDescent="0.2">
      <c r="A247" s="6">
        <v>1006</v>
      </c>
      <c r="B247" s="6" t="s">
        <v>74</v>
      </c>
      <c r="C247" s="7">
        <v>10</v>
      </c>
      <c r="D247" s="8">
        <v>1</v>
      </c>
      <c r="E247" s="8">
        <v>104</v>
      </c>
      <c r="F247" s="9">
        <f t="shared" si="64"/>
        <v>104</v>
      </c>
      <c r="G247" s="10">
        <f>IF(H247=500,IF(ISERROR(0/C247/D247/E247/I247/J247/K247),"VOID",ROUND(2*(I247+J247+K247)-IF(C247&lt;20,6.25*C247,8.75*C247),-1)),"FALSE")</f>
        <v>1150</v>
      </c>
      <c r="H247" s="11">
        <v>500</v>
      </c>
      <c r="I247" s="8">
        <v>175</v>
      </c>
      <c r="J247" s="8">
        <v>300</v>
      </c>
      <c r="K247" s="36">
        <f>CEILING(MAX(C247*13,),5)</f>
        <v>130</v>
      </c>
      <c r="L247" s="38"/>
      <c r="M247" s="8"/>
      <c r="N247" s="37"/>
      <c r="O247" s="8"/>
      <c r="P247" s="8"/>
      <c r="Q247" s="8"/>
      <c r="R247" s="8"/>
      <c r="S247" s="67"/>
      <c r="T247" s="34">
        <f>IF(C247="","",ROUND(CHOOSE(MATCH(C247,{5,6,7,8,10,12,14,16,18,20,22,25,28,32,40},0),0.154,0.222,0.302,0.395,0.617,0.888,1.209,1.579,1.998,2.467,2.985,3.855,4.836,6.316,9.868)*D247*E247*G247/1000,3))</f>
        <v>73.793000000000006</v>
      </c>
    </row>
    <row r="248" spans="1:20" ht="26.25" customHeight="1" x14ac:dyDescent="0.2">
      <c r="A248" s="6">
        <v>1647</v>
      </c>
      <c r="B248" s="6" t="s">
        <v>69</v>
      </c>
      <c r="C248" s="7">
        <v>16</v>
      </c>
      <c r="D248" s="8">
        <v>1</v>
      </c>
      <c r="E248" s="8">
        <v>5</v>
      </c>
      <c r="F248" s="9">
        <f t="shared" si="63"/>
        <v>5</v>
      </c>
      <c r="G248" s="10">
        <f>IF(H248=200,IF(ISERROR(0/C248/D248/E248/I248/J248/K248),"VOID",ROUND(I248+J248+K248-IF(C248&lt;20,2.5*C248,3.5*C248),-1)),"FALSE")</f>
        <v>5810</v>
      </c>
      <c r="H248" s="11">
        <v>200</v>
      </c>
      <c r="I248" s="8">
        <v>150</v>
      </c>
      <c r="J248" s="8">
        <v>5550</v>
      </c>
      <c r="K248" s="36">
        <v>150</v>
      </c>
      <c r="L248" s="12"/>
      <c r="M248" s="37"/>
      <c r="N248" s="8"/>
      <c r="O248" s="8"/>
      <c r="P248" s="8"/>
      <c r="Q248" s="8"/>
      <c r="R248" s="8"/>
      <c r="S248" s="63"/>
      <c r="T248" s="34">
        <f>IF(C248="","",ROUND(CHOOSE(MATCH(C248,{5,6,7,8,10,12,14,16,18,20,22,25,28,32,40},0),0.154,0.222,0.302,0.395,0.617,0.888,1.209,1.579,1.998,2.467,2.985,3.855,4.836,6.316,9.868)*D248*E248*G248/1000,3))</f>
        <v>45.87</v>
      </c>
    </row>
    <row r="249" spans="1:20" ht="26.25" customHeight="1" x14ac:dyDescent="0.2">
      <c r="A249" s="6">
        <v>1006</v>
      </c>
      <c r="B249" s="6" t="s">
        <v>69</v>
      </c>
      <c r="C249" s="7">
        <v>10</v>
      </c>
      <c r="D249" s="8">
        <v>1</v>
      </c>
      <c r="E249" s="8">
        <v>22</v>
      </c>
      <c r="F249" s="9">
        <f t="shared" si="63"/>
        <v>22</v>
      </c>
      <c r="G249" s="10">
        <f>IF(H249=500,IF(ISERROR(0/C249/D249/E249/I249/J249/K249),"VOID",ROUND(2*(I249+J249+K249)-IF(C249&lt;20,6.25*C249,8.75*C249),-1)),"FALSE")</f>
        <v>1150</v>
      </c>
      <c r="H249" s="11">
        <v>500</v>
      </c>
      <c r="I249" s="36">
        <v>175</v>
      </c>
      <c r="J249" s="36">
        <v>300</v>
      </c>
      <c r="K249" s="50">
        <f>CEILING(MAX(C249*13,),5)</f>
        <v>130</v>
      </c>
      <c r="L249" s="54"/>
      <c r="M249" s="50"/>
      <c r="N249" s="8"/>
      <c r="O249" s="8"/>
      <c r="P249" s="8"/>
      <c r="Q249" s="8"/>
      <c r="R249" s="8"/>
      <c r="S249" s="63"/>
      <c r="T249" s="34">
        <f>IF(C249="","",ROUND(CHOOSE(MATCH(C249,{5,6,7,8,10,12,14,16,18,20,22,25,28,32,40},0),0.154,0.222,0.302,0.395,0.617,0.888,1.209,1.579,1.998,2.467,2.985,3.855,4.836,6.316,9.868)*D249*E249*G249/1000,3))</f>
        <v>15.61</v>
      </c>
    </row>
    <row r="250" spans="1:20" ht="26.25" customHeight="1" x14ac:dyDescent="0.2">
      <c r="A250" s="6">
        <v>1648</v>
      </c>
      <c r="B250" s="6" t="s">
        <v>70</v>
      </c>
      <c r="C250" s="7">
        <v>16</v>
      </c>
      <c r="D250" s="8">
        <v>1</v>
      </c>
      <c r="E250" s="8">
        <v>3</v>
      </c>
      <c r="F250" s="9">
        <f t="shared" ref="F250:F253" si="66">D250*E250</f>
        <v>3</v>
      </c>
      <c r="G250" s="10">
        <f>IF(H250=111,IF(ISERROR(0/C250/D250/E250/I250/J250),"VOID",ROUND(I250+J250-IF(C250&lt;20,1.25*C250,1.75*C250),-1)),"FALSE")</f>
        <v>4360</v>
      </c>
      <c r="H250" s="11">
        <v>111</v>
      </c>
      <c r="I250" s="8">
        <v>150</v>
      </c>
      <c r="J250" s="36">
        <v>4225</v>
      </c>
      <c r="K250" s="36"/>
      <c r="L250" s="38"/>
      <c r="M250" s="8"/>
      <c r="N250" s="37"/>
      <c r="O250" s="8"/>
      <c r="P250" s="8"/>
      <c r="Q250" s="8"/>
      <c r="R250" s="8"/>
      <c r="S250" s="63"/>
      <c r="T250" s="34">
        <f>IF(C250="","",ROUND(CHOOSE(MATCH(C250,{5,6,7,8,10,12,14,16,18,20,22,25,28,32,40},0),0.154,0.222,0.302,0.395,0.617,0.888,1.209,1.579,1.998,2.467,2.985,3.855,4.836,6.316,9.868)*D250*E250*G250/1000,3))</f>
        <v>20.652999999999999</v>
      </c>
    </row>
    <row r="251" spans="1:20" ht="54.75" customHeight="1" x14ac:dyDescent="0.2">
      <c r="A251" s="6">
        <v>1649</v>
      </c>
      <c r="B251" s="6" t="s">
        <v>70</v>
      </c>
      <c r="C251" s="7">
        <v>16</v>
      </c>
      <c r="D251" s="8">
        <v>1</v>
      </c>
      <c r="E251" s="8">
        <v>2</v>
      </c>
      <c r="F251" s="9">
        <f t="shared" si="66"/>
        <v>2</v>
      </c>
      <c r="G251" s="10">
        <f>IF(H251=483,IF(ISERROR(0/C251/D251/E251/I251/J251/K251/M251),"VOID",ROUND(I251+2*J251+K251+M251,-1)),"FALSE")</f>
        <v>4630</v>
      </c>
      <c r="H251" s="11">
        <v>483</v>
      </c>
      <c r="I251" s="8">
        <v>500</v>
      </c>
      <c r="J251" s="50">
        <v>300</v>
      </c>
      <c r="K251" s="55">
        <v>3025</v>
      </c>
      <c r="L251" s="12">
        <v>50</v>
      </c>
      <c r="M251" s="37">
        <v>500</v>
      </c>
      <c r="N251" s="8"/>
      <c r="O251" s="8"/>
      <c r="P251" s="8"/>
      <c r="Q251" s="8"/>
      <c r="R251" s="8"/>
      <c r="S251" s="33"/>
      <c r="T251" s="34">
        <f>IF(C251="","",ROUND(CHOOSE(MATCH(C251,{5,6,7,8,10,12,14,16,18,20,22,25,28,32,40},0),0.154,0.222,0.302,0.395,0.617,0.888,1.209,1.579,1.998,2.467,2.985,3.855,4.836,6.316,9.868)*D251*E251*G251/1000,3))</f>
        <v>14.622</v>
      </c>
    </row>
    <row r="252" spans="1:20" ht="26.25" customHeight="1" x14ac:dyDescent="0.2">
      <c r="A252" s="6">
        <v>1650</v>
      </c>
      <c r="B252" s="6" t="s">
        <v>70</v>
      </c>
      <c r="C252" s="7">
        <v>16</v>
      </c>
      <c r="D252" s="8">
        <v>1</v>
      </c>
      <c r="E252" s="8">
        <v>3</v>
      </c>
      <c r="F252" s="9">
        <f t="shared" si="66"/>
        <v>3</v>
      </c>
      <c r="G252" s="10">
        <f>IF(H252=100,IF(ISERROR(0/C252/D252/E252/I252),"VOID",ROUND(I252,-1)),"FALSE")</f>
        <v>5630</v>
      </c>
      <c r="H252" s="11">
        <v>100</v>
      </c>
      <c r="I252" s="36">
        <v>5625</v>
      </c>
      <c r="J252" s="36"/>
      <c r="K252" s="8"/>
      <c r="L252" s="41"/>
      <c r="M252" s="37"/>
      <c r="N252" s="8"/>
      <c r="O252" s="8"/>
      <c r="P252" s="8"/>
      <c r="Q252" s="8"/>
      <c r="R252" s="8"/>
      <c r="S252" s="63"/>
      <c r="T252" s="34">
        <f>IF(C252="","",ROUND(CHOOSE(MATCH(C252,{5,6,7,8,10,12,14,16,18,20,22,25,28,32,40},0),0.154,0.222,0.302,0.395,0.617,0.888,1.209,1.579,1.998,2.467,2.985,3.855,4.836,6.316,9.868)*D252*E252*G252/1000,3))</f>
        <v>26.669</v>
      </c>
    </row>
    <row r="253" spans="1:20" ht="26.25" customHeight="1" x14ac:dyDescent="0.2">
      <c r="A253" s="6">
        <v>1651</v>
      </c>
      <c r="B253" s="6" t="s">
        <v>70</v>
      </c>
      <c r="C253" s="7">
        <v>16</v>
      </c>
      <c r="D253" s="8">
        <v>1</v>
      </c>
      <c r="E253" s="8">
        <v>2</v>
      </c>
      <c r="F253" s="9">
        <f t="shared" si="66"/>
        <v>2</v>
      </c>
      <c r="G253" s="10">
        <f>IF(H253=310,IF(ISERROR(0/C253/D253/E253/I253/J253/K253/M253),"VOID",ROUND(I253+J253+K253+M253-IF(C253&lt;20,1.25*C253,1.75*C253),-1)),"FALSE")</f>
        <v>4930</v>
      </c>
      <c r="H253" s="11">
        <v>310</v>
      </c>
      <c r="I253" s="36">
        <v>500</v>
      </c>
      <c r="J253" s="36">
        <v>300</v>
      </c>
      <c r="K253" s="8">
        <v>4000</v>
      </c>
      <c r="L253" s="41">
        <v>50</v>
      </c>
      <c r="M253" s="8">
        <v>150</v>
      </c>
      <c r="N253" s="8"/>
      <c r="O253" s="8"/>
      <c r="P253" s="8"/>
      <c r="Q253" s="8"/>
      <c r="R253" s="8"/>
      <c r="S253" s="33"/>
      <c r="T253" s="34">
        <f>IF(C253="","",ROUND(CHOOSE(MATCH(C253,{5,6,7,8,10,12,14,16,18,20,22,25,28,32,40},0),0.154,0.222,0.302,0.395,0.617,0.888,1.209,1.579,1.998,2.467,2.985,3.855,4.836,6.316,9.868)*D253*E253*G253/1000,3))</f>
        <v>15.569000000000001</v>
      </c>
    </row>
    <row r="254" spans="1:20" ht="26.25" customHeight="1" x14ac:dyDescent="0.2">
      <c r="A254" s="6">
        <v>1652</v>
      </c>
      <c r="B254" s="6" t="s">
        <v>70</v>
      </c>
      <c r="C254" s="7">
        <v>16</v>
      </c>
      <c r="D254" s="8">
        <v>1</v>
      </c>
      <c r="E254" s="8">
        <v>2</v>
      </c>
      <c r="F254" s="9">
        <f t="shared" ref="F254:F262" si="67">D254*E254</f>
        <v>2</v>
      </c>
      <c r="G254" s="10">
        <f>IF(H254=310,IF(ISERROR(0/C254/D254/E254/I254/J254/K254/M254),"VOID",ROUND(I254+J254+K254+M254-IF(C254&lt;20,1.25*C254,1.75*C254),-1)),"FALSE")</f>
        <v>3560</v>
      </c>
      <c r="H254" s="11">
        <v>310</v>
      </c>
      <c r="I254" s="8">
        <v>500</v>
      </c>
      <c r="J254" s="8">
        <v>300</v>
      </c>
      <c r="K254" s="36">
        <v>2625</v>
      </c>
      <c r="L254" s="12">
        <v>50</v>
      </c>
      <c r="M254" s="37">
        <v>150</v>
      </c>
      <c r="N254" s="8"/>
      <c r="O254" s="8"/>
      <c r="P254" s="8"/>
      <c r="Q254" s="8"/>
      <c r="R254" s="8"/>
      <c r="S254" s="33"/>
      <c r="T254" s="34">
        <f>IF(C254="","",ROUND(CHOOSE(MATCH(C254,{5,6,7,8,10,12,14,16,18,20,22,25,28,32,40},0),0.154,0.222,0.302,0.395,0.617,0.888,1.209,1.579,1.998,2.467,2.985,3.855,4.836,6.316,9.868)*D254*E254*G254/1000,3))</f>
        <v>11.242000000000001</v>
      </c>
    </row>
    <row r="255" spans="1:20" ht="54.75" customHeight="1" x14ac:dyDescent="0.2">
      <c r="A255" s="6">
        <v>1653</v>
      </c>
      <c r="B255" s="6" t="s">
        <v>70</v>
      </c>
      <c r="C255" s="7">
        <v>16</v>
      </c>
      <c r="D255" s="8">
        <v>1</v>
      </c>
      <c r="E255" s="8">
        <v>3</v>
      </c>
      <c r="F255" s="9">
        <f t="shared" si="67"/>
        <v>3</v>
      </c>
      <c r="G255" s="10">
        <f>IF(H255=100,IF(ISERROR(0/C255/D255/E255/I255),"VOID",ROUND(I255,-1)),"FALSE")</f>
        <v>6230</v>
      </c>
      <c r="H255" s="11">
        <v>100</v>
      </c>
      <c r="I255" s="8">
        <v>6225</v>
      </c>
      <c r="J255" s="8"/>
      <c r="K255" s="36"/>
      <c r="L255" s="12"/>
      <c r="M255" s="37"/>
      <c r="N255" s="8"/>
      <c r="O255" s="8"/>
      <c r="P255" s="8"/>
      <c r="Q255" s="8"/>
      <c r="R255" s="8"/>
      <c r="S255" s="63"/>
      <c r="T255" s="34">
        <f>IF(C255="","",ROUND(CHOOSE(MATCH(C255,{5,6,7,8,10,12,14,16,18,20,22,25,28,32,40},0),0.154,0.222,0.302,0.395,0.617,0.888,1.209,1.579,1.998,2.467,2.985,3.855,4.836,6.316,9.868)*D255*E255*G255/1000,3))</f>
        <v>29.512</v>
      </c>
    </row>
    <row r="256" spans="1:20" ht="53.25" customHeight="1" x14ac:dyDescent="0.2">
      <c r="A256" s="6">
        <v>1654</v>
      </c>
      <c r="B256" s="6" t="s">
        <v>70</v>
      </c>
      <c r="C256" s="7">
        <v>16</v>
      </c>
      <c r="D256" s="8">
        <v>1</v>
      </c>
      <c r="E256" s="8">
        <v>2</v>
      </c>
      <c r="F256" s="9">
        <f t="shared" ref="F256:F260" si="68">D256*E256</f>
        <v>2</v>
      </c>
      <c r="G256" s="10">
        <f>IF(H256=483,IF(ISERROR(0/C256/D256/E256/I256/J256/K256/M256),"VOID",ROUND(I256+2*J256+K256+M256,-1)),"FALSE")</f>
        <v>4230</v>
      </c>
      <c r="H256" s="11">
        <v>483</v>
      </c>
      <c r="I256" s="8">
        <v>500</v>
      </c>
      <c r="J256" s="8">
        <v>300</v>
      </c>
      <c r="K256" s="55">
        <v>2625</v>
      </c>
      <c r="L256" s="52">
        <v>50</v>
      </c>
      <c r="M256" s="66">
        <v>500</v>
      </c>
      <c r="N256" s="8"/>
      <c r="O256" s="8"/>
      <c r="P256" s="8"/>
      <c r="Q256" s="8"/>
      <c r="R256" s="8"/>
      <c r="S256" s="33"/>
      <c r="T256" s="34">
        <f>IF(C256="","",ROUND(CHOOSE(MATCH(C256,{5,6,7,8,10,12,14,16,18,20,22,25,28,32,40},0),0.154,0.222,0.302,0.395,0.617,0.888,1.209,1.579,1.998,2.467,2.985,3.855,4.836,6.316,9.868)*D256*E256*G256/1000,3))</f>
        <v>13.358000000000001</v>
      </c>
    </row>
    <row r="257" spans="1:20" ht="26.25" customHeight="1" x14ac:dyDescent="0.2">
      <c r="A257" s="6">
        <v>1655</v>
      </c>
      <c r="B257" s="6" t="s">
        <v>70</v>
      </c>
      <c r="C257" s="7">
        <v>16</v>
      </c>
      <c r="D257" s="8">
        <v>1</v>
      </c>
      <c r="E257" s="8">
        <v>3</v>
      </c>
      <c r="F257" s="9">
        <f t="shared" si="68"/>
        <v>3</v>
      </c>
      <c r="G257" s="10">
        <f>IF(H257=111,IF(ISERROR(0/C257/D257/E257/I257/J257),"VOID",ROUND(I257+J257-IF(C257&lt;20,1.25*C257,1.75*C257),-1)),"FALSE")</f>
        <v>5530</v>
      </c>
      <c r="H257" s="11">
        <v>111</v>
      </c>
      <c r="I257" s="8">
        <v>150</v>
      </c>
      <c r="J257" s="36">
        <v>5400</v>
      </c>
      <c r="K257" s="36"/>
      <c r="L257" s="57"/>
      <c r="M257" s="50"/>
      <c r="N257" s="37"/>
      <c r="O257" s="8"/>
      <c r="P257" s="8"/>
      <c r="Q257" s="8"/>
      <c r="R257" s="8"/>
      <c r="S257" s="63"/>
      <c r="T257" s="34">
        <f>IF(C257="","",ROUND(CHOOSE(MATCH(C257,{5,6,7,8,10,12,14,16,18,20,22,25,28,32,40},0),0.154,0.222,0.302,0.395,0.617,0.888,1.209,1.579,1.998,2.467,2.985,3.855,4.836,6.316,9.868)*D257*E257*G257/1000,3))</f>
        <v>26.196000000000002</v>
      </c>
    </row>
    <row r="258" spans="1:20" ht="26.25" customHeight="1" x14ac:dyDescent="0.2">
      <c r="A258" s="6">
        <v>1006</v>
      </c>
      <c r="B258" s="6" t="s">
        <v>70</v>
      </c>
      <c r="C258" s="7">
        <v>10</v>
      </c>
      <c r="D258" s="8">
        <v>1</v>
      </c>
      <c r="E258" s="8">
        <v>69</v>
      </c>
      <c r="F258" s="9">
        <f t="shared" si="68"/>
        <v>69</v>
      </c>
      <c r="G258" s="10">
        <f>IF(H258=500,IF(ISERROR(0/C258/D258/E258/I258/J258/K258),"VOID",ROUND(2*(I258+J258+K258)-IF(C258&lt;20,6.25*C258,8.75*C258),-1)),"FALSE")</f>
        <v>1150</v>
      </c>
      <c r="H258" s="11">
        <v>500</v>
      </c>
      <c r="I258" s="8">
        <v>175</v>
      </c>
      <c r="J258" s="8">
        <v>300</v>
      </c>
      <c r="K258" s="36">
        <f>CEILING(MAX(C258*13,),5)</f>
        <v>130</v>
      </c>
      <c r="L258" s="38"/>
      <c r="M258" s="8"/>
      <c r="N258" s="37"/>
      <c r="O258" s="8"/>
      <c r="P258" s="8"/>
      <c r="Q258" s="8"/>
      <c r="R258" s="8"/>
      <c r="S258" s="63"/>
      <c r="T258" s="34">
        <f>IF(C258="","",ROUND(CHOOSE(MATCH(C258,{5,6,7,8,10,12,14,16,18,20,22,25,28,32,40},0),0.154,0.222,0.302,0.395,0.617,0.888,1.209,1.579,1.998,2.467,2.985,3.855,4.836,6.316,9.868)*D258*E258*G258/1000,3))</f>
        <v>48.959000000000003</v>
      </c>
    </row>
    <row r="259" spans="1:20" ht="26.25" customHeight="1" x14ac:dyDescent="0.2">
      <c r="A259" s="6">
        <v>1656</v>
      </c>
      <c r="B259" s="6" t="s">
        <v>71</v>
      </c>
      <c r="C259" s="7">
        <v>16</v>
      </c>
      <c r="D259" s="8">
        <v>1</v>
      </c>
      <c r="E259" s="8">
        <v>2</v>
      </c>
      <c r="F259" s="9">
        <f t="shared" si="68"/>
        <v>2</v>
      </c>
      <c r="G259" s="10">
        <f>IF(H259=200,IF(ISERROR(0/C259/D259/E259/I259/J259/K259),"VOID",ROUND(I259+J259+K259-IF(C259&lt;20,2.5*C259,3.5*C259),-1)),"FALSE")</f>
        <v>5660</v>
      </c>
      <c r="H259" s="11">
        <v>200</v>
      </c>
      <c r="I259" s="8">
        <v>150</v>
      </c>
      <c r="J259" s="8">
        <v>5400</v>
      </c>
      <c r="K259" s="36">
        <v>150</v>
      </c>
      <c r="L259" s="52"/>
      <c r="M259" s="66"/>
      <c r="N259" s="8"/>
      <c r="O259" s="8"/>
      <c r="P259" s="8"/>
      <c r="Q259" s="8"/>
      <c r="R259" s="8"/>
      <c r="S259" s="63"/>
      <c r="T259" s="34">
        <f>IF(C259="","",ROUND(CHOOSE(MATCH(C259,{5,6,7,8,10,12,14,16,18,20,22,25,28,32,40},0),0.154,0.222,0.302,0.395,0.617,0.888,1.209,1.579,1.998,2.467,2.985,3.855,4.836,6.316,9.868)*D259*E259*G259/1000,3))</f>
        <v>17.873999999999999</v>
      </c>
    </row>
    <row r="260" spans="1:20" ht="26.25" customHeight="1" x14ac:dyDescent="0.2">
      <c r="A260" s="6">
        <v>2057</v>
      </c>
      <c r="B260" s="6" t="s">
        <v>71</v>
      </c>
      <c r="C260" s="7">
        <v>20</v>
      </c>
      <c r="D260" s="8">
        <v>1</v>
      </c>
      <c r="E260" s="8">
        <v>4</v>
      </c>
      <c r="F260" s="9">
        <f t="shared" si="68"/>
        <v>4</v>
      </c>
      <c r="G260" s="10">
        <f>IF(H260=200,IF(ISERROR(0/C260/D260/E260/I260/J260/K260),"VOID",ROUND(I260+J260+K260-IF(C260&lt;20,2.5*C260,3.5*C260),-1)),"FALSE")</f>
        <v>5630</v>
      </c>
      <c r="H260" s="11">
        <v>200</v>
      </c>
      <c r="I260" s="8">
        <v>150</v>
      </c>
      <c r="J260" s="50">
        <v>5400</v>
      </c>
      <c r="K260" s="55">
        <v>150</v>
      </c>
      <c r="L260" s="38"/>
      <c r="M260" s="8"/>
      <c r="N260" s="37"/>
      <c r="O260" s="8"/>
      <c r="P260" s="8"/>
      <c r="Q260" s="8"/>
      <c r="R260" s="8"/>
      <c r="S260" s="63"/>
      <c r="T260" s="34">
        <f>IF(C260="","",ROUND(CHOOSE(MATCH(C260,{5,6,7,8,10,12,14,16,18,20,22,25,28,32,40},0),0.154,0.222,0.302,0.395,0.617,0.888,1.209,1.579,1.998,2.467,2.985,3.855,4.836,6.316,9.868)*D260*E260*G260/1000,3))</f>
        <v>55.557000000000002</v>
      </c>
    </row>
    <row r="261" spans="1:20" ht="26.25" customHeight="1" x14ac:dyDescent="0.2">
      <c r="A261" s="6">
        <v>12124</v>
      </c>
      <c r="B261" s="6" t="s">
        <v>71</v>
      </c>
      <c r="C261" s="7">
        <v>12</v>
      </c>
      <c r="D261" s="8">
        <v>1</v>
      </c>
      <c r="E261" s="8">
        <v>2</v>
      </c>
      <c r="F261" s="9">
        <f t="shared" ref="F261" si="69">D261*E261</f>
        <v>2</v>
      </c>
      <c r="G261" s="10">
        <f>IF(H261=100,IF(ISERROR(0/C261/D261/E261/I261),"VOID",ROUND(I261,-1)),"FALSE")</f>
        <v>5400</v>
      </c>
      <c r="H261" s="11">
        <v>100</v>
      </c>
      <c r="I261" s="36">
        <v>5400</v>
      </c>
      <c r="J261" s="36"/>
      <c r="K261" s="8"/>
      <c r="L261" s="53"/>
      <c r="M261" s="8"/>
      <c r="N261" s="37"/>
      <c r="O261" s="8"/>
      <c r="P261" s="8"/>
      <c r="Q261" s="8"/>
      <c r="R261" s="8"/>
      <c r="S261" s="63"/>
      <c r="T261" s="34">
        <f>IF(C261="","",ROUND(CHOOSE(MATCH(C261,{5,6,7,8,10,12,14,16,18,20,22,25,28,32,40},0),0.154,0.222,0.302,0.395,0.617,0.888,1.209,1.579,1.998,2.467,2.985,3.855,4.836,6.316,9.868)*D261*E261*G261/1000,3))</f>
        <v>9.59</v>
      </c>
    </row>
    <row r="262" spans="1:20" ht="26.25" customHeight="1" x14ac:dyDescent="0.2">
      <c r="A262" s="6" t="s">
        <v>72</v>
      </c>
      <c r="B262" s="6" t="s">
        <v>71</v>
      </c>
      <c r="C262" s="7">
        <v>10</v>
      </c>
      <c r="D262" s="8">
        <v>1</v>
      </c>
      <c r="E262" s="8">
        <v>22</v>
      </c>
      <c r="F262" s="9">
        <f t="shared" si="67"/>
        <v>22</v>
      </c>
      <c r="G262" s="10">
        <f>IF(H262=500,IF(ISERROR(0/C262/D262/E262/I262/J262/K262),"VOID",ROUND(2*(I262+J262+K262)-IF(C262&lt;20,6.25*C262,8.75*C262),-1)),"FALSE")</f>
        <v>1150</v>
      </c>
      <c r="H262" s="11">
        <v>500</v>
      </c>
      <c r="I262" s="36">
        <v>175</v>
      </c>
      <c r="J262" s="64">
        <v>300</v>
      </c>
      <c r="K262" s="51">
        <f>CEILING(MAX(C262*13,),5)</f>
        <v>130</v>
      </c>
      <c r="L262" s="54"/>
      <c r="M262" s="50"/>
      <c r="N262" s="8"/>
      <c r="O262" s="8"/>
      <c r="P262" s="8"/>
      <c r="Q262" s="8"/>
      <c r="R262" s="8"/>
      <c r="S262" s="63"/>
      <c r="T262" s="34">
        <f>IF(C262="","",ROUND(CHOOSE(MATCH(C262,{5,6,7,8,10,12,14,16,18,20,22,25,28,32,40},0),0.154,0.222,0.302,0.395,0.617,0.888,1.209,1.579,1.998,2.467,2.985,3.855,4.836,6.316,9.868)*D262*E262*G262/1000,3))</f>
        <v>15.61</v>
      </c>
    </row>
    <row r="263" spans="1:20" ht="26.25" customHeight="1" x14ac:dyDescent="0.2">
      <c r="A263" s="6">
        <v>1656</v>
      </c>
      <c r="B263" s="6" t="s">
        <v>73</v>
      </c>
      <c r="C263" s="7">
        <v>16</v>
      </c>
      <c r="D263" s="8">
        <v>1</v>
      </c>
      <c r="E263" s="8">
        <v>6</v>
      </c>
      <c r="F263" s="9">
        <f t="shared" ref="F263:F268" si="70">D263*E263</f>
        <v>6</v>
      </c>
      <c r="G263" s="10">
        <f>IF(H263=200,IF(ISERROR(0/C263/D263/E263/I263/J263/K263),"VOID",ROUND(I263+J263+K263-IF(C263&lt;20,2.5*C263,3.5*C263),-1)),"FALSE")</f>
        <v>5660</v>
      </c>
      <c r="H263" s="11">
        <v>200</v>
      </c>
      <c r="I263" s="8">
        <v>150</v>
      </c>
      <c r="J263" s="8">
        <v>5400</v>
      </c>
      <c r="K263" s="36">
        <v>150</v>
      </c>
      <c r="L263" s="38"/>
      <c r="M263" s="8"/>
      <c r="N263" s="37"/>
      <c r="O263" s="8"/>
      <c r="P263" s="8"/>
      <c r="Q263" s="8"/>
      <c r="R263" s="8"/>
      <c r="S263" s="63"/>
      <c r="T263" s="34">
        <f>IF(C263="","",ROUND(CHOOSE(MATCH(C263,{5,6,7,8,10,12,14,16,18,20,22,25,28,32,40},0),0.154,0.222,0.302,0.395,0.617,0.888,1.209,1.579,1.998,2.467,2.985,3.855,4.836,6.316,9.868)*D263*E263*G263/1000,3))</f>
        <v>53.622999999999998</v>
      </c>
    </row>
    <row r="264" spans="1:20" ht="26.25" customHeight="1" x14ac:dyDescent="0.2">
      <c r="A264" s="6">
        <v>1006</v>
      </c>
      <c r="B264" s="6" t="s">
        <v>73</v>
      </c>
      <c r="C264" s="7">
        <v>10</v>
      </c>
      <c r="D264" s="8">
        <v>1</v>
      </c>
      <c r="E264" s="8">
        <v>22</v>
      </c>
      <c r="F264" s="9">
        <f t="shared" si="70"/>
        <v>22</v>
      </c>
      <c r="G264" s="10">
        <f>IF(H264=500,IF(ISERROR(0/C264/D264/E264/I264/J264/K264),"VOID",ROUND(2*(I264+J264+K264)-IF(C264&lt;20,6.25*C264,8.75*C264),-1)),"FALSE")</f>
        <v>1150</v>
      </c>
      <c r="H264" s="11">
        <v>500</v>
      </c>
      <c r="I264" s="8">
        <v>175</v>
      </c>
      <c r="J264" s="8">
        <v>300</v>
      </c>
      <c r="K264" s="36">
        <f>CEILING(MAX(C264*13,),5)</f>
        <v>130</v>
      </c>
      <c r="L264" s="52"/>
      <c r="M264" s="66"/>
      <c r="N264" s="8"/>
      <c r="O264" s="8"/>
      <c r="P264" s="8"/>
      <c r="Q264" s="8"/>
      <c r="R264" s="8"/>
      <c r="S264" s="63"/>
      <c r="T264" s="34">
        <f>IF(C264="","",ROUND(CHOOSE(MATCH(C264,{5,6,7,8,10,12,14,16,18,20,22,25,28,32,40},0),0.154,0.222,0.302,0.395,0.617,0.888,1.209,1.579,1.998,2.467,2.985,3.855,4.836,6.316,9.868)*D264*E264*G264/1000,3))</f>
        <v>15.61</v>
      </c>
    </row>
    <row r="265" spans="1:20" ht="26.25" customHeight="1" x14ac:dyDescent="0.2">
      <c r="A265" s="6">
        <v>1658</v>
      </c>
      <c r="B265" s="6" t="s">
        <v>41</v>
      </c>
      <c r="C265" s="7">
        <v>16</v>
      </c>
      <c r="D265" s="8">
        <v>1</v>
      </c>
      <c r="E265" s="8">
        <v>4</v>
      </c>
      <c r="F265" s="9">
        <f t="shared" si="70"/>
        <v>4</v>
      </c>
      <c r="G265" s="10">
        <f>IF(H265=200,IF(ISERROR(0/C265/D265/E265/I265/J265/K265),"VOID",ROUND(I265+J265+K265-IF(C265&lt;20,2.5*C265,3.5*C265),-1)),"FALSE")</f>
        <v>4990</v>
      </c>
      <c r="H265" s="11">
        <v>200</v>
      </c>
      <c r="I265" s="8">
        <v>150</v>
      </c>
      <c r="J265" s="8">
        <v>4725</v>
      </c>
      <c r="K265" s="36">
        <v>150</v>
      </c>
      <c r="L265" s="38"/>
      <c r="M265" s="8"/>
      <c r="N265" s="37"/>
      <c r="O265" s="8"/>
      <c r="P265" s="8"/>
      <c r="Q265" s="8"/>
      <c r="R265" s="8"/>
      <c r="S265" s="63"/>
      <c r="T265" s="34">
        <f>IF(C265="","",ROUND(CHOOSE(MATCH(C265,{5,6,7,8,10,12,14,16,18,20,22,25,28,32,40},0),0.154,0.222,0.302,0.395,0.617,0.888,1.209,1.579,1.998,2.467,2.985,3.855,4.836,6.316,9.868)*D265*E265*G265/1000,3))</f>
        <v>31.516999999999999</v>
      </c>
    </row>
    <row r="266" spans="1:20" ht="26.25" customHeight="1" x14ac:dyDescent="0.2">
      <c r="A266" s="6">
        <v>1659</v>
      </c>
      <c r="B266" s="6" t="s">
        <v>75</v>
      </c>
      <c r="C266" s="7">
        <v>16</v>
      </c>
      <c r="D266" s="8">
        <v>1</v>
      </c>
      <c r="E266" s="8">
        <v>2</v>
      </c>
      <c r="F266" s="9">
        <f t="shared" si="70"/>
        <v>2</v>
      </c>
      <c r="G266" s="10">
        <f>IF(H266=310,IF(ISERROR(0/C266/D266/E266/I266/J266/K266/M266),"VOID",ROUND(I266+J266+K266+M266-IF(C266&lt;20,1.25*C266,1.75*C266),-1)),"FALSE")</f>
        <v>4110</v>
      </c>
      <c r="H266" s="11">
        <v>310</v>
      </c>
      <c r="I266" s="8">
        <v>500</v>
      </c>
      <c r="J266" s="8">
        <v>300</v>
      </c>
      <c r="K266" s="36">
        <v>3175</v>
      </c>
      <c r="L266" s="12">
        <v>50</v>
      </c>
      <c r="M266" s="37">
        <v>150</v>
      </c>
      <c r="N266" s="8"/>
      <c r="O266" s="8"/>
      <c r="P266" s="8"/>
      <c r="Q266" s="8"/>
      <c r="R266" s="8"/>
      <c r="S266" s="33"/>
      <c r="T266" s="34">
        <f>IF(C266="","",ROUND(CHOOSE(MATCH(C266,{5,6,7,8,10,12,14,16,18,20,22,25,28,32,40},0),0.154,0.222,0.302,0.395,0.617,0.888,1.209,1.579,1.998,2.467,2.985,3.855,4.836,6.316,9.868)*D266*E266*G266/1000,3))</f>
        <v>12.978999999999999</v>
      </c>
    </row>
    <row r="267" spans="1:20" ht="26.25" customHeight="1" x14ac:dyDescent="0.2">
      <c r="A267" s="6">
        <v>1660</v>
      </c>
      <c r="B267" s="6" t="s">
        <v>75</v>
      </c>
      <c r="C267" s="7">
        <v>16</v>
      </c>
      <c r="D267" s="8">
        <v>1</v>
      </c>
      <c r="E267" s="8">
        <v>3</v>
      </c>
      <c r="F267" s="9">
        <f t="shared" si="70"/>
        <v>3</v>
      </c>
      <c r="G267" s="10">
        <f>IF(H267=100,IF(ISERROR(0/C267/D267/E267/I267),"VOID",ROUND(I267,-1)),"FALSE")</f>
        <v>5330</v>
      </c>
      <c r="H267" s="11">
        <v>100</v>
      </c>
      <c r="I267" s="8">
        <v>5325</v>
      </c>
      <c r="J267" s="8"/>
      <c r="K267" s="36"/>
      <c r="L267" s="12"/>
      <c r="M267" s="37"/>
      <c r="N267" s="8"/>
      <c r="O267" s="8"/>
      <c r="P267" s="8"/>
      <c r="Q267" s="8"/>
      <c r="R267" s="8"/>
      <c r="S267" s="35"/>
      <c r="T267" s="34">
        <f>IF(C267="","",ROUND(CHOOSE(MATCH(C267,{5,6,7,8,10,12,14,16,18,20,22,25,28,32,40},0),0.154,0.222,0.302,0.395,0.617,0.888,1.209,1.579,1.998,2.467,2.985,3.855,4.836,6.316,9.868)*D267*E267*G267/1000,3))</f>
        <v>25.248000000000001</v>
      </c>
    </row>
    <row r="268" spans="1:20" ht="26.25" customHeight="1" x14ac:dyDescent="0.2">
      <c r="A268" s="6">
        <v>1661</v>
      </c>
      <c r="B268" s="6" t="s">
        <v>75</v>
      </c>
      <c r="C268" s="7">
        <v>16</v>
      </c>
      <c r="D268" s="8">
        <v>1</v>
      </c>
      <c r="E268" s="8">
        <v>2</v>
      </c>
      <c r="F268" s="9">
        <f t="shared" si="70"/>
        <v>2</v>
      </c>
      <c r="G268" s="10">
        <f>IF(H268=483,IF(ISERROR(0/C268/D268/E268/I268/J268/K268/M268),"VOID",ROUND(I268+2*J268+K268+M268,-1)),"FALSE")</f>
        <v>4630</v>
      </c>
      <c r="H268" s="11">
        <v>483</v>
      </c>
      <c r="I268" s="36">
        <v>500</v>
      </c>
      <c r="J268" s="55">
        <v>300</v>
      </c>
      <c r="K268" s="50">
        <v>3025</v>
      </c>
      <c r="L268" s="54">
        <v>50</v>
      </c>
      <c r="M268" s="50">
        <v>500</v>
      </c>
      <c r="N268" s="8"/>
      <c r="O268" s="8"/>
      <c r="P268" s="8"/>
      <c r="Q268" s="8"/>
      <c r="R268" s="8"/>
      <c r="S268" s="33"/>
      <c r="T268" s="34">
        <f>IF(C268="","",ROUND(CHOOSE(MATCH(C268,{5,6,7,8,10,12,14,16,18,20,22,25,28,32,40},0),0.154,0.222,0.302,0.395,0.617,0.888,1.209,1.579,1.998,2.467,2.985,3.855,4.836,6.316,9.868)*D268*E268*G268/1000,3))</f>
        <v>14.622</v>
      </c>
    </row>
    <row r="269" spans="1:20" ht="26.25" customHeight="1" x14ac:dyDescent="0.2">
      <c r="A269" s="6">
        <v>1662</v>
      </c>
      <c r="B269" s="6" t="s">
        <v>75</v>
      </c>
      <c r="C269" s="7">
        <v>16</v>
      </c>
      <c r="D269" s="8">
        <v>1</v>
      </c>
      <c r="E269" s="8">
        <v>3</v>
      </c>
      <c r="F269" s="9">
        <f t="shared" ref="F269:F280" si="71">D269*E269</f>
        <v>3</v>
      </c>
      <c r="G269" s="10">
        <f>IF(H269=100,IF(ISERROR(0/C269/D269/E269/I269),"VOID",ROUND(I269,-1)),"FALSE")</f>
        <v>5630</v>
      </c>
      <c r="H269" s="11">
        <v>100</v>
      </c>
      <c r="I269" s="36">
        <v>5625</v>
      </c>
      <c r="J269" s="36"/>
      <c r="K269" s="36"/>
      <c r="L269" s="38"/>
      <c r="M269" s="8"/>
      <c r="N269" s="37"/>
      <c r="O269" s="8"/>
      <c r="P269" s="8"/>
      <c r="Q269" s="8"/>
      <c r="R269" s="8"/>
      <c r="S269" s="67"/>
      <c r="T269" s="34">
        <f>IF(C269="","",ROUND(CHOOSE(MATCH(C269,{5,6,7,8,10,12,14,16,18,20,22,25,28,32,40},0),0.154,0.222,0.302,0.395,0.617,0.888,1.209,1.579,1.998,2.467,2.985,3.855,4.836,6.316,9.868)*D269*E269*G269/1000,3))</f>
        <v>26.669</v>
      </c>
    </row>
    <row r="270" spans="1:20" ht="26.25" customHeight="1" x14ac:dyDescent="0.2">
      <c r="A270" s="6">
        <v>1663</v>
      </c>
      <c r="B270" s="6" t="s">
        <v>75</v>
      </c>
      <c r="C270" s="7">
        <v>16</v>
      </c>
      <c r="D270" s="8">
        <v>1</v>
      </c>
      <c r="E270" s="8">
        <v>2</v>
      </c>
      <c r="F270" s="9">
        <f t="shared" si="71"/>
        <v>2</v>
      </c>
      <c r="G270" s="10">
        <f>IF(H270=310,IF(ISERROR(0/C270/D270/E270/I270/J270/K270/M270),"VOID",ROUND(I270+J270+K270+M270-IF(C270&lt;20,1.25*C270,1.75*C270),-1)),"FALSE")</f>
        <v>4930</v>
      </c>
      <c r="H270" s="11">
        <v>310</v>
      </c>
      <c r="I270" s="8">
        <v>500</v>
      </c>
      <c r="J270" s="8">
        <v>300</v>
      </c>
      <c r="K270" s="55">
        <v>4000</v>
      </c>
      <c r="L270" s="52">
        <v>50</v>
      </c>
      <c r="M270" s="66">
        <v>150</v>
      </c>
      <c r="N270" s="8"/>
      <c r="O270" s="8"/>
      <c r="P270" s="8"/>
      <c r="Q270" s="8"/>
      <c r="R270" s="8"/>
      <c r="S270" s="33"/>
      <c r="T270" s="34">
        <f>IF(C270="","",ROUND(CHOOSE(MATCH(C270,{5,6,7,8,10,12,14,16,18,20,22,25,28,32,40},0),0.154,0.222,0.302,0.395,0.617,0.888,1.209,1.579,1.998,2.467,2.985,3.855,4.836,6.316,9.868)*D270*E270*G270/1000,3))</f>
        <v>15.569000000000001</v>
      </c>
    </row>
    <row r="271" spans="1:20" ht="26.25" customHeight="1" x14ac:dyDescent="0.2">
      <c r="A271" s="6">
        <v>1664</v>
      </c>
      <c r="B271" s="6" t="s">
        <v>75</v>
      </c>
      <c r="C271" s="7">
        <v>16</v>
      </c>
      <c r="D271" s="8">
        <v>1</v>
      </c>
      <c r="E271" s="8">
        <v>3</v>
      </c>
      <c r="F271" s="9">
        <f t="shared" si="71"/>
        <v>3</v>
      </c>
      <c r="G271" s="10">
        <f>IF(H271=111,IF(ISERROR(0/C271/D271/E271/I271/J271),"VOID",ROUND(I271+J271-IF(C271&lt;20,1.25*C271,1.75*C271),-1)),"FALSE")</f>
        <v>4410</v>
      </c>
      <c r="H271" s="11">
        <v>111</v>
      </c>
      <c r="I271" s="8">
        <v>150</v>
      </c>
      <c r="J271" s="36">
        <v>4275</v>
      </c>
      <c r="K271" s="36"/>
      <c r="L271" s="38"/>
      <c r="M271" s="8"/>
      <c r="N271" s="37"/>
      <c r="O271" s="8"/>
      <c r="P271" s="8"/>
      <c r="Q271" s="8"/>
      <c r="R271" s="8"/>
      <c r="S271" s="67"/>
      <c r="T271" s="34">
        <f>IF(C271="","",ROUND(CHOOSE(MATCH(C271,{5,6,7,8,10,12,14,16,18,20,22,25,28,32,40},0),0.154,0.222,0.302,0.395,0.617,0.888,1.209,1.579,1.998,2.467,2.985,3.855,4.836,6.316,9.868)*D271*E271*G271/1000,3))</f>
        <v>20.89</v>
      </c>
    </row>
    <row r="272" spans="1:20" ht="54.75" customHeight="1" x14ac:dyDescent="0.2">
      <c r="A272" s="6">
        <v>1665</v>
      </c>
      <c r="B272" s="6" t="s">
        <v>75</v>
      </c>
      <c r="C272" s="7">
        <v>16</v>
      </c>
      <c r="D272" s="8">
        <v>1</v>
      </c>
      <c r="E272" s="8">
        <v>4</v>
      </c>
      <c r="F272" s="9">
        <f t="shared" si="71"/>
        <v>4</v>
      </c>
      <c r="G272" s="10">
        <f>IF(H272=483,IF(ISERROR(0/C272/D272/E272/I272/J272/K272/M272),"VOID",ROUND(I272+2*J272+K272+M272,-1)),"FALSE")</f>
        <v>4230</v>
      </c>
      <c r="H272" s="11">
        <v>483</v>
      </c>
      <c r="I272" s="8">
        <v>500</v>
      </c>
      <c r="J272" s="8">
        <v>300</v>
      </c>
      <c r="K272" s="36">
        <v>2625</v>
      </c>
      <c r="L272" s="12">
        <v>50</v>
      </c>
      <c r="M272" s="37">
        <v>500</v>
      </c>
      <c r="N272" s="8"/>
      <c r="O272" s="8"/>
      <c r="P272" s="8"/>
      <c r="Q272" s="8"/>
      <c r="R272" s="8"/>
      <c r="S272" s="33"/>
      <c r="T272" s="34">
        <f>IF(C272="","",ROUND(CHOOSE(MATCH(C272,{5,6,7,8,10,12,14,16,18,20,22,25,28,32,40},0),0.154,0.222,0.302,0.395,0.617,0.888,1.209,1.579,1.998,2.467,2.985,3.855,4.836,6.316,9.868)*D272*E272*G272/1000,3))</f>
        <v>26.716999999999999</v>
      </c>
    </row>
    <row r="273" spans="1:20" ht="26.25" customHeight="1" x14ac:dyDescent="0.2">
      <c r="A273" s="6">
        <v>1666</v>
      </c>
      <c r="B273" s="6" t="s">
        <v>75</v>
      </c>
      <c r="C273" s="7">
        <v>16</v>
      </c>
      <c r="D273" s="8">
        <v>1</v>
      </c>
      <c r="E273" s="8">
        <v>3</v>
      </c>
      <c r="F273" s="9">
        <f t="shared" si="71"/>
        <v>3</v>
      </c>
      <c r="G273" s="10">
        <f>IF(H273=100,IF(ISERROR(0/C273/D273/E273/I273),"VOID",ROUND(I273,-1)),"FALSE")</f>
        <v>6230</v>
      </c>
      <c r="H273" s="11">
        <v>100</v>
      </c>
      <c r="I273" s="8">
        <v>6225</v>
      </c>
      <c r="J273" s="8"/>
      <c r="K273" s="55"/>
      <c r="L273" s="12"/>
      <c r="M273" s="37"/>
      <c r="N273" s="8"/>
      <c r="O273" s="8"/>
      <c r="P273" s="8"/>
      <c r="Q273" s="8"/>
      <c r="R273" s="8"/>
      <c r="S273" s="35"/>
      <c r="T273" s="34">
        <f>IF(C273="","",ROUND(CHOOSE(MATCH(C273,{5,6,7,8,10,12,14,16,18,20,22,25,28,32,40},0),0.154,0.222,0.302,0.395,0.617,0.888,1.209,1.579,1.998,2.467,2.985,3.855,4.836,6.316,9.868)*D273*E273*G273/1000,3))</f>
        <v>29.512</v>
      </c>
    </row>
    <row r="274" spans="1:20" ht="54.75" customHeight="1" x14ac:dyDescent="0.2">
      <c r="A274" s="6">
        <v>1667</v>
      </c>
      <c r="B274" s="6" t="s">
        <v>75</v>
      </c>
      <c r="C274" s="7">
        <v>16</v>
      </c>
      <c r="D274" s="8">
        <v>1</v>
      </c>
      <c r="E274" s="8">
        <v>3</v>
      </c>
      <c r="F274" s="9">
        <f t="shared" si="71"/>
        <v>3</v>
      </c>
      <c r="G274" s="10">
        <f>IF(H274=111,IF(ISERROR(0/C274/D274/E274/I274/J274),"VOID",ROUND(I274+J274-IF(C274&lt;20,1.25*C274,1.75*C274),-1)),"FALSE")</f>
        <v>5530</v>
      </c>
      <c r="H274" s="11">
        <v>111</v>
      </c>
      <c r="I274" s="36">
        <v>150</v>
      </c>
      <c r="J274" s="36">
        <v>5400</v>
      </c>
      <c r="K274" s="8"/>
      <c r="L274" s="41"/>
      <c r="M274" s="8"/>
      <c r="N274" s="8"/>
      <c r="O274" s="8"/>
      <c r="P274" s="8"/>
      <c r="Q274" s="8"/>
      <c r="R274" s="8"/>
      <c r="S274" s="67"/>
      <c r="T274" s="34">
        <f>IF(C274="","",ROUND(CHOOSE(MATCH(C274,{5,6,7,8,10,12,14,16,18,20,22,25,28,32,40},0),0.154,0.222,0.302,0.395,0.617,0.888,1.209,1.579,1.998,2.467,2.985,3.855,4.836,6.316,9.868)*D274*E274*G274/1000,3))</f>
        <v>26.196000000000002</v>
      </c>
    </row>
    <row r="275" spans="1:20" ht="26.25" customHeight="1" x14ac:dyDescent="0.2">
      <c r="A275" s="6">
        <v>1006</v>
      </c>
      <c r="B275" s="6" t="s">
        <v>75</v>
      </c>
      <c r="C275" s="7">
        <v>10</v>
      </c>
      <c r="D275" s="8">
        <v>1</v>
      </c>
      <c r="E275" s="8">
        <v>86</v>
      </c>
      <c r="F275" s="9">
        <f t="shared" si="71"/>
        <v>86</v>
      </c>
      <c r="G275" s="10">
        <f>IF(H275=500,IF(ISERROR(0/C275/D275/E275/I275/J275/K275),"VOID",ROUND(2*(I275+J275+K275)-IF(C275&lt;20,6.25*C275,8.75*C275),-1)),"FALSE")</f>
        <v>1150</v>
      </c>
      <c r="H275" s="11">
        <v>500</v>
      </c>
      <c r="I275" s="8">
        <v>175</v>
      </c>
      <c r="J275" s="8">
        <v>300</v>
      </c>
      <c r="K275" s="36">
        <f>CEILING(MAX(C275*13,),5)</f>
        <v>130</v>
      </c>
      <c r="L275" s="52"/>
      <c r="M275" s="66"/>
      <c r="N275" s="8"/>
      <c r="O275" s="8"/>
      <c r="P275" s="8"/>
      <c r="Q275" s="8"/>
      <c r="R275" s="8"/>
      <c r="S275" s="67"/>
      <c r="T275" s="34">
        <f>IF(C275="","",ROUND(CHOOSE(MATCH(C275,{5,6,7,8,10,12,14,16,18,20,22,25,28,32,40},0),0.154,0.222,0.302,0.395,0.617,0.888,1.209,1.579,1.998,2.467,2.985,3.855,4.836,6.316,9.868)*D275*E275*G275/1000,3))</f>
        <v>61.021000000000001</v>
      </c>
    </row>
    <row r="276" spans="1:20" ht="26.25" customHeight="1" x14ac:dyDescent="0.2">
      <c r="A276" s="6">
        <v>1668</v>
      </c>
      <c r="B276" s="6" t="s">
        <v>76</v>
      </c>
      <c r="C276" s="7">
        <v>16</v>
      </c>
      <c r="D276" s="8">
        <v>1</v>
      </c>
      <c r="E276" s="8">
        <v>2</v>
      </c>
      <c r="F276" s="9">
        <f t="shared" si="71"/>
        <v>2</v>
      </c>
      <c r="G276" s="10">
        <f>IF(H276=310,IF(ISERROR(0/C276/D276/E276/I276/J276/K276/M276),"VOID",ROUND(I276+J276+K276+M276-IF(C276&lt;20,1.25*C276,1.75*C276),-1)),"FALSE")</f>
        <v>3880</v>
      </c>
      <c r="H276" s="11">
        <v>310</v>
      </c>
      <c r="I276" s="8">
        <v>500</v>
      </c>
      <c r="J276" s="8">
        <v>300</v>
      </c>
      <c r="K276" s="55">
        <v>2950</v>
      </c>
      <c r="L276" s="12">
        <v>50</v>
      </c>
      <c r="M276" s="37">
        <v>150</v>
      </c>
      <c r="N276" s="8"/>
      <c r="O276" s="8"/>
      <c r="P276" s="8"/>
      <c r="Q276" s="8"/>
      <c r="R276" s="8"/>
      <c r="S276" s="33"/>
      <c r="T276" s="34">
        <f>IF(C276="","",ROUND(CHOOSE(MATCH(C276,{5,6,7,8,10,12,14,16,18,20,22,25,28,32,40},0),0.154,0.222,0.302,0.395,0.617,0.888,1.209,1.579,1.998,2.467,2.985,3.855,4.836,6.316,9.868)*D276*E276*G276/1000,3))</f>
        <v>12.253</v>
      </c>
    </row>
    <row r="277" spans="1:20" ht="54.75" customHeight="1" x14ac:dyDescent="0.2">
      <c r="A277" s="6">
        <v>1669</v>
      </c>
      <c r="B277" s="6" t="s">
        <v>76</v>
      </c>
      <c r="C277" s="7">
        <v>16</v>
      </c>
      <c r="D277" s="8">
        <v>1</v>
      </c>
      <c r="E277" s="8">
        <v>2</v>
      </c>
      <c r="F277" s="9">
        <f t="shared" si="71"/>
        <v>2</v>
      </c>
      <c r="G277" s="10">
        <f>IF(H277=111,IF(ISERROR(0/C277/D277/E277/I277/J277),"VOID",ROUND(I277+J277-IF(C277&lt;20,1.25*C277,1.75*C277),-1)),"FALSE")</f>
        <v>11930</v>
      </c>
      <c r="H277" s="11">
        <v>111</v>
      </c>
      <c r="I277" s="8">
        <v>150</v>
      </c>
      <c r="J277" s="36">
        <v>11800</v>
      </c>
      <c r="K277" s="8"/>
      <c r="L277" s="53"/>
      <c r="M277" s="8"/>
      <c r="N277" s="37"/>
      <c r="O277" s="8"/>
      <c r="P277" s="8"/>
      <c r="Q277" s="8"/>
      <c r="R277" s="8"/>
      <c r="S277" s="67"/>
      <c r="T277" s="34">
        <f>IF(C277="","",ROUND(CHOOSE(MATCH(C277,{5,6,7,8,10,12,14,16,18,20,22,25,28,32,40},0),0.154,0.222,0.302,0.395,0.617,0.888,1.209,1.579,1.998,2.467,2.985,3.855,4.836,6.316,9.868)*D277*E277*G277/1000,3))</f>
        <v>37.674999999999997</v>
      </c>
    </row>
    <row r="278" spans="1:20" ht="26.25" customHeight="1" x14ac:dyDescent="0.2">
      <c r="A278" s="6">
        <v>1670</v>
      </c>
      <c r="B278" s="6" t="s">
        <v>76</v>
      </c>
      <c r="C278" s="7">
        <v>16</v>
      </c>
      <c r="D278" s="8">
        <v>1</v>
      </c>
      <c r="E278" s="8">
        <v>2</v>
      </c>
      <c r="F278" s="9">
        <f t="shared" si="71"/>
        <v>2</v>
      </c>
      <c r="G278" s="10">
        <f>IF(H278=310,IF(ISERROR(0/C278/D278/E278/I278/J278/K278/M278),"VOID",ROUND(I278+J278+K278+M278-IF(C278&lt;20,1.25*C278,1.75*C278),-1)),"FALSE")</f>
        <v>8710</v>
      </c>
      <c r="H278" s="11">
        <v>310</v>
      </c>
      <c r="I278" s="8">
        <v>500</v>
      </c>
      <c r="J278" s="8">
        <v>300</v>
      </c>
      <c r="K278" s="36">
        <v>7775</v>
      </c>
      <c r="L278" s="12">
        <v>50</v>
      </c>
      <c r="M278" s="37">
        <v>150</v>
      </c>
      <c r="N278" s="8"/>
      <c r="O278" s="8"/>
      <c r="P278" s="8"/>
      <c r="Q278" s="8"/>
      <c r="R278" s="8"/>
      <c r="S278" s="33"/>
      <c r="T278" s="34">
        <f>IF(C278="","",ROUND(CHOOSE(MATCH(C278,{5,6,7,8,10,12,14,16,18,20,22,25,28,32,40},0),0.154,0.222,0.302,0.395,0.617,0.888,1.209,1.579,1.998,2.467,2.985,3.855,4.836,6.316,9.868)*D278*E278*G278/1000,3))</f>
        <v>27.506</v>
      </c>
    </row>
    <row r="279" spans="1:20" ht="54.75" customHeight="1" x14ac:dyDescent="0.2">
      <c r="A279" s="6">
        <v>1671</v>
      </c>
      <c r="B279" s="6" t="s">
        <v>76</v>
      </c>
      <c r="C279" s="7">
        <v>16</v>
      </c>
      <c r="D279" s="8">
        <v>1</v>
      </c>
      <c r="E279" s="8">
        <v>2</v>
      </c>
      <c r="F279" s="9">
        <f t="shared" si="71"/>
        <v>2</v>
      </c>
      <c r="G279" s="10">
        <f>IF(H279=111,IF(ISERROR(0/C279/D279/E279/I279/J279),"VOID",ROUND(I279+J279-IF(C279&lt;20,1.25*C279,1.75*C279),-1)),"FALSE")</f>
        <v>7110</v>
      </c>
      <c r="H279" s="11">
        <v>111</v>
      </c>
      <c r="I279" s="8">
        <v>150</v>
      </c>
      <c r="J279" s="8">
        <v>6975</v>
      </c>
      <c r="K279" s="36"/>
      <c r="L279" s="12"/>
      <c r="M279" s="37"/>
      <c r="N279" s="8"/>
      <c r="O279" s="8"/>
      <c r="P279" s="8"/>
      <c r="Q279" s="8"/>
      <c r="R279" s="8"/>
      <c r="S279" s="67"/>
      <c r="T279" s="34">
        <f>IF(C279="","",ROUND(CHOOSE(MATCH(C279,{5,6,7,8,10,12,14,16,18,20,22,25,28,32,40},0),0.154,0.222,0.302,0.395,0.617,0.888,1.209,1.579,1.998,2.467,2.985,3.855,4.836,6.316,9.868)*D279*E279*G279/1000,3))</f>
        <v>22.452999999999999</v>
      </c>
    </row>
    <row r="280" spans="1:20" ht="26.25" customHeight="1" x14ac:dyDescent="0.2">
      <c r="A280" s="6">
        <v>1672</v>
      </c>
      <c r="B280" s="6" t="s">
        <v>77</v>
      </c>
      <c r="C280" s="7">
        <v>16</v>
      </c>
      <c r="D280" s="8">
        <v>1</v>
      </c>
      <c r="E280" s="8">
        <v>2</v>
      </c>
      <c r="F280" s="9">
        <f t="shared" si="71"/>
        <v>2</v>
      </c>
      <c r="G280" s="10">
        <f>IF(H280=310,IF(ISERROR(0/C280/D280/E280/I280/J280/K280/M280),"VOID",ROUND(I280+J280+K280+M280-IF(C280&lt;20,1.25*C280,1.75*C280),-1)),"FALSE")</f>
        <v>5710</v>
      </c>
      <c r="H280" s="11">
        <v>310</v>
      </c>
      <c r="I280" s="36">
        <v>500</v>
      </c>
      <c r="J280" s="36">
        <v>300</v>
      </c>
      <c r="K280" s="8">
        <v>4775</v>
      </c>
      <c r="L280" s="41">
        <v>50</v>
      </c>
      <c r="M280" s="8">
        <v>150</v>
      </c>
      <c r="N280" s="8"/>
      <c r="O280" s="8"/>
      <c r="P280" s="8"/>
      <c r="Q280" s="8"/>
      <c r="R280" s="8"/>
      <c r="S280" s="33"/>
      <c r="T280" s="34">
        <f>IF(C280="","",ROUND(CHOOSE(MATCH(C280,{5,6,7,8,10,12,14,16,18,20,22,25,28,32,40},0),0.154,0.222,0.302,0.395,0.617,0.888,1.209,1.579,1.998,2.467,2.985,3.855,4.836,6.316,9.868)*D280*E280*G280/1000,3))</f>
        <v>18.032</v>
      </c>
    </row>
    <row r="281" spans="1:20" ht="26.25" customHeight="1" x14ac:dyDescent="0.2">
      <c r="A281" s="6">
        <v>1673</v>
      </c>
      <c r="B281" s="6" t="s">
        <v>77</v>
      </c>
      <c r="C281" s="7">
        <v>16</v>
      </c>
      <c r="D281" s="8">
        <v>1</v>
      </c>
      <c r="E281" s="8">
        <v>2</v>
      </c>
      <c r="F281" s="9">
        <f t="shared" ref="F281:F287" si="72">D281*E281</f>
        <v>2</v>
      </c>
      <c r="G281" s="10">
        <f>IF(H281=310,IF(ISERROR(0/C281/D281/E281/I281/J281/K281/M281),"VOID",ROUND(I281+J281+K281+M281-IF(C281&lt;20,1.25*C281,1.75*C281),-1)),"FALSE")</f>
        <v>12210</v>
      </c>
      <c r="H281" s="11">
        <v>310</v>
      </c>
      <c r="I281" s="36">
        <v>500</v>
      </c>
      <c r="J281" s="55">
        <v>300</v>
      </c>
      <c r="K281" s="55">
        <v>11275</v>
      </c>
      <c r="L281" s="57">
        <v>50</v>
      </c>
      <c r="M281" s="50">
        <v>150</v>
      </c>
      <c r="N281" s="37"/>
      <c r="O281" s="8"/>
      <c r="P281" s="8"/>
      <c r="Q281" s="8"/>
      <c r="R281" s="8"/>
      <c r="S281" s="33"/>
      <c r="T281" s="34">
        <f>IF(C281="","",ROUND(CHOOSE(MATCH(C281,{5,6,7,8,10,12,14,16,18,20,22,25,28,32,40},0),0.154,0.222,0.302,0.395,0.617,0.888,1.209,1.579,1.998,2.467,2.985,3.855,4.836,6.316,9.868)*D281*E281*G281/1000,3))</f>
        <v>38.558999999999997</v>
      </c>
    </row>
    <row r="282" spans="1:20" ht="26.25" customHeight="1" x14ac:dyDescent="0.2">
      <c r="A282" s="6">
        <v>2018</v>
      </c>
      <c r="B282" s="6" t="s">
        <v>77</v>
      </c>
      <c r="C282" s="7">
        <v>20</v>
      </c>
      <c r="D282" s="8">
        <v>1</v>
      </c>
      <c r="E282" s="8">
        <v>7</v>
      </c>
      <c r="F282" s="9">
        <f t="shared" ref="F282" si="73">D282*E282</f>
        <v>7</v>
      </c>
      <c r="G282" s="10">
        <f>IF(H282=100,IF(ISERROR(0/C282/D282/E282/I282),"VOID",ROUND(I282,-1)),"FALSE")</f>
        <v>3000</v>
      </c>
      <c r="H282" s="11">
        <v>100</v>
      </c>
      <c r="I282" s="36">
        <v>3000</v>
      </c>
      <c r="J282" s="8"/>
      <c r="K282" s="65"/>
      <c r="L282" s="38"/>
      <c r="M282" s="8"/>
      <c r="N282" s="37"/>
      <c r="O282" s="8"/>
      <c r="P282" s="8"/>
      <c r="Q282" s="8"/>
      <c r="R282" s="8"/>
      <c r="S282" s="68"/>
      <c r="T282" s="34">
        <f>IF(C282="","",ROUND(CHOOSE(MATCH(C282,{5,6,7,8,10,12,14,16,18,20,22,25,28,32,40},0),0.154,0.222,0.302,0.395,0.617,0.888,1.209,1.579,1.998,2.467,2.985,3.855,4.836,6.316,9.868)*D282*E282*G282/1000,3))</f>
        <v>51.807000000000002</v>
      </c>
    </row>
    <row r="283" spans="1:20" ht="26.25" customHeight="1" x14ac:dyDescent="0.2">
      <c r="A283" s="6">
        <v>2074</v>
      </c>
      <c r="B283" s="6" t="s">
        <v>77</v>
      </c>
      <c r="C283" s="7">
        <v>20</v>
      </c>
      <c r="D283" s="8">
        <v>1</v>
      </c>
      <c r="E283" s="8">
        <v>4</v>
      </c>
      <c r="F283" s="9">
        <f t="shared" si="72"/>
        <v>4</v>
      </c>
      <c r="G283" s="10">
        <f>IF(H283=111,IF(ISERROR(0/C283/D283/E283/I283/J283),"VOID",ROUND(I283+J283-IF(C283&lt;20,1.25*C283,1.75*C283),-1)),"FALSE")</f>
        <v>6390</v>
      </c>
      <c r="H283" s="11">
        <v>111</v>
      </c>
      <c r="I283" s="8">
        <v>150</v>
      </c>
      <c r="J283" s="64">
        <v>6275</v>
      </c>
      <c r="K283" s="36"/>
      <c r="L283" s="38"/>
      <c r="M283" s="8"/>
      <c r="N283" s="37"/>
      <c r="O283" s="8"/>
      <c r="P283" s="8"/>
      <c r="Q283" s="8"/>
      <c r="R283" s="8"/>
      <c r="S283" s="67"/>
      <c r="T283" s="34">
        <f>IF(C283="","",ROUND(CHOOSE(MATCH(C283,{5,6,7,8,10,12,14,16,18,20,22,25,28,32,40},0),0.154,0.222,0.302,0.395,0.617,0.888,1.209,1.579,1.998,2.467,2.985,3.855,4.836,6.316,9.868)*D283*E283*G283/1000,3))</f>
        <v>63.057000000000002</v>
      </c>
    </row>
    <row r="284" spans="1:20" ht="54.75" customHeight="1" x14ac:dyDescent="0.2">
      <c r="A284" s="6">
        <v>2075</v>
      </c>
      <c r="B284" s="6" t="s">
        <v>77</v>
      </c>
      <c r="C284" s="7">
        <v>20</v>
      </c>
      <c r="D284" s="8">
        <v>1</v>
      </c>
      <c r="E284" s="8">
        <v>2</v>
      </c>
      <c r="F284" s="9">
        <f t="shared" si="72"/>
        <v>2</v>
      </c>
      <c r="G284" s="10">
        <f>IF(H284=310,IF(ISERROR(0/C284/D284/E284/I284/J284/K284/M284),"VOID",ROUND(I284+J284+K284+M284-IF(C284&lt;20,1.25*C284,1.75*C284),-1)),"FALSE")</f>
        <v>6270</v>
      </c>
      <c r="H284" s="11">
        <v>310</v>
      </c>
      <c r="I284" s="8">
        <v>500</v>
      </c>
      <c r="J284" s="36">
        <v>300</v>
      </c>
      <c r="K284" s="36">
        <v>5200</v>
      </c>
      <c r="L284" s="38">
        <v>50</v>
      </c>
      <c r="M284" s="50">
        <v>300</v>
      </c>
      <c r="N284" s="37"/>
      <c r="O284" s="8"/>
      <c r="P284" s="8"/>
      <c r="Q284" s="8"/>
      <c r="R284" s="8"/>
      <c r="S284" s="33"/>
      <c r="T284" s="34">
        <f>IF(C284="","",ROUND(CHOOSE(MATCH(C284,{5,6,7,8,10,12,14,16,18,20,22,25,28,32,40},0),0.154,0.222,0.302,0.395,0.617,0.888,1.209,1.579,1.998,2.467,2.985,3.855,4.836,6.316,9.868)*D284*E284*G284/1000,3))</f>
        <v>30.936</v>
      </c>
    </row>
    <row r="285" spans="1:20" ht="26.25" customHeight="1" x14ac:dyDescent="0.2">
      <c r="A285" s="6">
        <v>1676</v>
      </c>
      <c r="B285" s="6" t="s">
        <v>77</v>
      </c>
      <c r="C285" s="7">
        <v>16</v>
      </c>
      <c r="D285" s="8">
        <v>1</v>
      </c>
      <c r="E285" s="8">
        <v>2</v>
      </c>
      <c r="F285" s="9">
        <f t="shared" si="72"/>
        <v>2</v>
      </c>
      <c r="G285" s="10">
        <f>IF(H285=222,IF(ISERROR(0/C285/D285/E285/I285/J285/K285),"VOID",ROUND(I285+J285+K285,-1)),"FALSE")</f>
        <v>3950</v>
      </c>
      <c r="H285" s="11">
        <v>222</v>
      </c>
      <c r="I285" s="8">
        <v>500</v>
      </c>
      <c r="J285" s="8">
        <v>300</v>
      </c>
      <c r="K285" s="36">
        <v>3150</v>
      </c>
      <c r="L285" s="38">
        <v>50</v>
      </c>
      <c r="M285" s="8"/>
      <c r="N285" s="37"/>
      <c r="O285" s="8"/>
      <c r="P285" s="8"/>
      <c r="Q285" s="8"/>
      <c r="R285" s="8"/>
      <c r="S285" s="33"/>
      <c r="T285" s="34">
        <f>IF(C285="","",ROUND(CHOOSE(MATCH(C285,{5,6,7,8,10,12,14,16,18,20,22,25,28,32,40},0),0.154,0.222,0.302,0.395,0.617,0.888,1.209,1.579,1.998,2.467,2.985,3.855,4.836,6.316,9.868)*D285*E285*G285/1000,3))</f>
        <v>12.474</v>
      </c>
    </row>
    <row r="286" spans="1:20" ht="26.25" customHeight="1" x14ac:dyDescent="0.2">
      <c r="A286" s="6">
        <v>1677</v>
      </c>
      <c r="B286" s="6" t="s">
        <v>77</v>
      </c>
      <c r="C286" s="7">
        <v>16</v>
      </c>
      <c r="D286" s="8">
        <v>1</v>
      </c>
      <c r="E286" s="8">
        <v>3</v>
      </c>
      <c r="F286" s="9">
        <f t="shared" si="72"/>
        <v>3</v>
      </c>
      <c r="G286" s="10">
        <f>IF(H286=111,IF(ISERROR(0/C286/D286/E286/I286/J286),"VOID",ROUND(I286+J286-IF(C286&lt;20,1.25*C286,1.75*C286),-1)),"FALSE")</f>
        <v>4560</v>
      </c>
      <c r="H286" s="11">
        <v>111</v>
      </c>
      <c r="I286" s="8">
        <v>150</v>
      </c>
      <c r="J286" s="8">
        <v>4425</v>
      </c>
      <c r="K286" s="36"/>
      <c r="L286" s="12"/>
      <c r="M286" s="37"/>
      <c r="N286" s="8"/>
      <c r="O286" s="8"/>
      <c r="P286" s="8"/>
      <c r="Q286" s="8"/>
      <c r="R286" s="8"/>
      <c r="S286" s="68"/>
      <c r="T286" s="34">
        <f>IF(C286="","",ROUND(CHOOSE(MATCH(C286,{5,6,7,8,10,12,14,16,18,20,22,25,28,32,40},0),0.154,0.222,0.302,0.395,0.617,0.888,1.209,1.579,1.998,2.467,2.985,3.855,4.836,6.316,9.868)*D286*E286*G286/1000,3))</f>
        <v>21.600999999999999</v>
      </c>
    </row>
    <row r="287" spans="1:20" ht="26.25" customHeight="1" x14ac:dyDescent="0.2">
      <c r="A287" s="6">
        <v>1678</v>
      </c>
      <c r="B287" s="6" t="s">
        <v>40</v>
      </c>
      <c r="C287" s="7">
        <v>16</v>
      </c>
      <c r="D287" s="8">
        <v>1</v>
      </c>
      <c r="E287" s="8">
        <v>2</v>
      </c>
      <c r="F287" s="9">
        <f t="shared" si="72"/>
        <v>2</v>
      </c>
      <c r="G287" s="10">
        <f>IF(H287=310,IF(ISERROR(0/C287/D287/E287/I287/J287/K287/M287),"VOID",ROUND(I287+J287+K287+M287-IF(C287&lt;20,1.25*C287,1.75*C287),-1)),"FALSE")</f>
        <v>4210</v>
      </c>
      <c r="H287" s="11">
        <v>310</v>
      </c>
      <c r="I287" s="36">
        <v>500</v>
      </c>
      <c r="J287" s="55">
        <v>300</v>
      </c>
      <c r="K287" s="50">
        <v>3275</v>
      </c>
      <c r="L287" s="54">
        <v>50</v>
      </c>
      <c r="M287" s="50">
        <v>150</v>
      </c>
      <c r="N287" s="8"/>
      <c r="O287" s="8"/>
      <c r="P287" s="8"/>
      <c r="Q287" s="8"/>
      <c r="R287" s="8"/>
      <c r="S287" s="33"/>
      <c r="T287" s="34">
        <f>IF(C287="","",ROUND(CHOOSE(MATCH(C287,{5,6,7,8,10,12,14,16,18,20,22,25,28,32,40},0),0.154,0.222,0.302,0.395,0.617,0.888,1.209,1.579,1.998,2.467,2.985,3.855,4.836,6.316,9.868)*D287*E287*G287/1000,3))</f>
        <v>13.295</v>
      </c>
    </row>
    <row r="288" spans="1:20" ht="26.25" customHeight="1" x14ac:dyDescent="0.2">
      <c r="A288" s="6">
        <v>1679</v>
      </c>
      <c r="B288" s="6" t="s">
        <v>40</v>
      </c>
      <c r="C288" s="7">
        <v>16</v>
      </c>
      <c r="D288" s="8">
        <v>1</v>
      </c>
      <c r="E288" s="8">
        <v>4</v>
      </c>
      <c r="F288" s="9">
        <f t="shared" ref="F288:F295" si="74">D288*E288</f>
        <v>4</v>
      </c>
      <c r="G288" s="10">
        <f>IF(H288=100,IF(ISERROR(0/C288/D288/E288/I288),"VOID",ROUND(I288,-1)),"FALSE")</f>
        <v>4400</v>
      </c>
      <c r="H288" s="11">
        <v>100</v>
      </c>
      <c r="I288" s="36">
        <v>4400</v>
      </c>
      <c r="J288" s="36"/>
      <c r="K288" s="36"/>
      <c r="L288" s="38"/>
      <c r="M288" s="8"/>
      <c r="N288" s="37"/>
      <c r="O288" s="8"/>
      <c r="P288" s="8"/>
      <c r="Q288" s="8"/>
      <c r="R288" s="8"/>
      <c r="S288" s="68"/>
      <c r="T288" s="34">
        <f>IF(C288="","",ROUND(CHOOSE(MATCH(C288,{5,6,7,8,10,12,14,16,18,20,22,25,28,32,40},0),0.154,0.222,0.302,0.395,0.617,0.888,1.209,1.579,1.998,2.467,2.985,3.855,4.836,6.316,9.868)*D288*E288*G288/1000,3))</f>
        <v>27.79</v>
      </c>
    </row>
    <row r="289" spans="1:20" ht="26.25" customHeight="1" x14ac:dyDescent="0.2">
      <c r="A289" s="6">
        <v>1680</v>
      </c>
      <c r="B289" s="6" t="s">
        <v>40</v>
      </c>
      <c r="C289" s="7">
        <v>16</v>
      </c>
      <c r="D289" s="8">
        <v>1</v>
      </c>
      <c r="E289" s="8">
        <v>2</v>
      </c>
      <c r="F289" s="9">
        <f t="shared" si="74"/>
        <v>2</v>
      </c>
      <c r="G289" s="10">
        <f>IF(H289=483,IF(ISERROR(0/C289/D289/E289/I289/J289/K289/M289),"VOID",ROUND(I289+2*J289+K289+M289,-1)),"FALSE")</f>
        <v>4200</v>
      </c>
      <c r="H289" s="11">
        <v>483</v>
      </c>
      <c r="I289" s="36">
        <v>500</v>
      </c>
      <c r="J289" s="36">
        <v>300</v>
      </c>
      <c r="K289" s="36">
        <v>2600</v>
      </c>
      <c r="L289" s="38">
        <v>50</v>
      </c>
      <c r="M289" s="8">
        <v>500</v>
      </c>
      <c r="N289" s="37"/>
      <c r="O289" s="8"/>
      <c r="P289" s="8"/>
      <c r="Q289" s="8"/>
      <c r="R289" s="8"/>
      <c r="S289" s="33"/>
      <c r="T289" s="34">
        <f>IF(C289="","",ROUND(CHOOSE(MATCH(C289,{5,6,7,8,10,12,14,16,18,20,22,25,28,32,40},0),0.154,0.222,0.302,0.395,0.617,0.888,1.209,1.579,1.998,2.467,2.985,3.855,4.836,6.316,9.868)*D289*E289*G289/1000,3))</f>
        <v>13.263999999999999</v>
      </c>
    </row>
    <row r="290" spans="1:20" ht="26.25" customHeight="1" x14ac:dyDescent="0.2">
      <c r="A290" s="6">
        <v>1681</v>
      </c>
      <c r="B290" s="6" t="s">
        <v>40</v>
      </c>
      <c r="C290" s="7">
        <v>16</v>
      </c>
      <c r="D290" s="8">
        <v>1</v>
      </c>
      <c r="E290" s="8">
        <v>7</v>
      </c>
      <c r="F290" s="9">
        <f t="shared" si="74"/>
        <v>7</v>
      </c>
      <c r="G290" s="10">
        <f>IF(H290=100,IF(ISERROR(0/C290/D290/E290/I290),"VOID",ROUND(I290,-1)),"FALSE")</f>
        <v>2300</v>
      </c>
      <c r="H290" s="11">
        <v>100</v>
      </c>
      <c r="I290" s="36">
        <v>2300</v>
      </c>
      <c r="J290" s="8"/>
      <c r="K290" s="65"/>
      <c r="L290" s="38"/>
      <c r="M290" s="8"/>
      <c r="N290" s="37"/>
      <c r="O290" s="8"/>
      <c r="P290" s="8"/>
      <c r="Q290" s="8"/>
      <c r="R290" s="8"/>
      <c r="S290" s="68"/>
      <c r="T290" s="34">
        <f>IF(C290="","",ROUND(CHOOSE(MATCH(C290,{5,6,7,8,10,12,14,16,18,20,22,25,28,32,40},0),0.154,0.222,0.302,0.395,0.617,0.888,1.209,1.579,1.998,2.467,2.985,3.855,4.836,6.316,9.868)*D290*E290*G290/1000,3))</f>
        <v>25.422000000000001</v>
      </c>
    </row>
    <row r="291" spans="1:20" ht="26.25" customHeight="1" x14ac:dyDescent="0.2">
      <c r="A291" s="6">
        <v>1682</v>
      </c>
      <c r="B291" s="6" t="s">
        <v>40</v>
      </c>
      <c r="C291" s="7">
        <v>16</v>
      </c>
      <c r="D291" s="8">
        <v>1</v>
      </c>
      <c r="E291" s="8">
        <v>2</v>
      </c>
      <c r="F291" s="9">
        <f t="shared" si="74"/>
        <v>2</v>
      </c>
      <c r="G291" s="10">
        <f>IF(H291=483,IF(ISERROR(0/C291/D291/E291/I291/J291/K291/M291),"VOID",ROUND(I291+2*J291+K291+M291,-1)),"FALSE")</f>
        <v>3430</v>
      </c>
      <c r="H291" s="11">
        <v>483</v>
      </c>
      <c r="I291" s="8">
        <v>500</v>
      </c>
      <c r="J291" s="36">
        <v>300</v>
      </c>
      <c r="K291" s="36">
        <v>1825</v>
      </c>
      <c r="L291" s="38">
        <v>50</v>
      </c>
      <c r="M291" s="8">
        <v>500</v>
      </c>
      <c r="N291" s="37"/>
      <c r="O291" s="8"/>
      <c r="P291" s="8"/>
      <c r="Q291" s="8"/>
      <c r="R291" s="8"/>
      <c r="S291" s="33"/>
      <c r="T291" s="34">
        <f>IF(C291="","",ROUND(CHOOSE(MATCH(C291,{5,6,7,8,10,12,14,16,18,20,22,25,28,32,40},0),0.154,0.222,0.302,0.395,0.617,0.888,1.209,1.579,1.998,2.467,2.985,3.855,4.836,6.316,9.868)*D291*E291*G291/1000,3))</f>
        <v>10.832000000000001</v>
      </c>
    </row>
    <row r="292" spans="1:20" ht="26.25" customHeight="1" x14ac:dyDescent="0.2">
      <c r="A292" s="6">
        <v>1683</v>
      </c>
      <c r="B292" s="6" t="s">
        <v>40</v>
      </c>
      <c r="C292" s="7">
        <v>16</v>
      </c>
      <c r="D292" s="8">
        <v>1</v>
      </c>
      <c r="E292" s="8">
        <v>2</v>
      </c>
      <c r="F292" s="9">
        <f t="shared" si="74"/>
        <v>2</v>
      </c>
      <c r="G292" s="10">
        <f>IF(H292=310,IF(ISERROR(0/C292/D292/E292/I292/J292/K292/M292),"VOID",ROUND(I292+J292+K292+M292-IF(C292&lt;20,1.25*C292,1.75*C292),-1)),"FALSE")</f>
        <v>4580</v>
      </c>
      <c r="H292" s="11">
        <v>310</v>
      </c>
      <c r="I292" s="8">
        <v>500</v>
      </c>
      <c r="J292" s="36">
        <v>300</v>
      </c>
      <c r="K292" s="55">
        <v>3650</v>
      </c>
      <c r="L292" s="57">
        <v>50</v>
      </c>
      <c r="M292" s="8">
        <v>150</v>
      </c>
      <c r="N292" s="37"/>
      <c r="O292" s="8"/>
      <c r="P292" s="8"/>
      <c r="Q292" s="8"/>
      <c r="R292" s="8"/>
      <c r="S292" s="33"/>
      <c r="T292" s="34">
        <f>IF(C292="","",ROUND(CHOOSE(MATCH(C292,{5,6,7,8,10,12,14,16,18,20,22,25,28,32,40},0),0.154,0.222,0.302,0.395,0.617,0.888,1.209,1.579,1.998,2.467,2.985,3.855,4.836,6.316,9.868)*D292*E292*G292/1000,3))</f>
        <v>14.464</v>
      </c>
    </row>
    <row r="293" spans="1:20" ht="26.25" customHeight="1" x14ac:dyDescent="0.2">
      <c r="A293" s="6">
        <v>1684</v>
      </c>
      <c r="B293" s="6" t="s">
        <v>40</v>
      </c>
      <c r="C293" s="7">
        <v>16</v>
      </c>
      <c r="D293" s="8">
        <v>1</v>
      </c>
      <c r="E293" s="8">
        <v>3</v>
      </c>
      <c r="F293" s="9">
        <f t="shared" si="74"/>
        <v>3</v>
      </c>
      <c r="G293" s="10">
        <f>IF(H293=111,IF(ISERROR(0/C293/D293/E293/I293/J293),"VOID",ROUND(I293+J293-IF(C293&lt;20,1.25*C293,1.75*C293),-1)),"FALSE")</f>
        <v>4410</v>
      </c>
      <c r="H293" s="11">
        <v>111</v>
      </c>
      <c r="I293" s="8">
        <v>150</v>
      </c>
      <c r="J293" s="36">
        <v>4275</v>
      </c>
      <c r="K293" s="36"/>
      <c r="L293" s="12"/>
      <c r="M293" s="37"/>
      <c r="N293" s="37"/>
      <c r="O293" s="8"/>
      <c r="P293" s="8"/>
      <c r="Q293" s="8"/>
      <c r="R293" s="8"/>
      <c r="S293" s="68"/>
      <c r="T293" s="34">
        <f>IF(C293="","",ROUND(CHOOSE(MATCH(C293,{5,6,7,8,10,12,14,16,18,20,22,25,28,32,40},0),0.154,0.222,0.302,0.395,0.617,0.888,1.209,1.579,1.998,2.467,2.985,3.855,4.836,6.316,9.868)*D293*E293*G293/1000,3))</f>
        <v>20.89</v>
      </c>
    </row>
    <row r="294" spans="1:20" ht="26.25" customHeight="1" x14ac:dyDescent="0.2">
      <c r="A294" s="6">
        <v>1685</v>
      </c>
      <c r="B294" s="6" t="s">
        <v>40</v>
      </c>
      <c r="C294" s="7">
        <v>16</v>
      </c>
      <c r="D294" s="8">
        <v>1</v>
      </c>
      <c r="E294" s="8">
        <v>2</v>
      </c>
      <c r="F294" s="9">
        <f t="shared" si="74"/>
        <v>2</v>
      </c>
      <c r="G294" s="10">
        <f>IF(H294=483,IF(ISERROR(0/C294/D294/E294/I294/J294/K294/M294),"VOID",ROUND(I294+2*J294+K294+M294,-1)),"FALSE")</f>
        <v>3600</v>
      </c>
      <c r="H294" s="11">
        <v>483</v>
      </c>
      <c r="I294" s="8">
        <v>500</v>
      </c>
      <c r="J294" s="50">
        <v>300</v>
      </c>
      <c r="K294" s="36">
        <v>2000</v>
      </c>
      <c r="L294" s="12">
        <v>50</v>
      </c>
      <c r="M294" s="37">
        <v>500</v>
      </c>
      <c r="N294" s="8"/>
      <c r="O294" s="8"/>
      <c r="P294" s="8"/>
      <c r="Q294" s="8"/>
      <c r="R294" s="8"/>
      <c r="S294" s="33"/>
      <c r="T294" s="34">
        <f>IF(C294="","",ROUND(CHOOSE(MATCH(C294,{5,6,7,8,10,12,14,16,18,20,22,25,28,32,40},0),0.154,0.222,0.302,0.395,0.617,0.888,1.209,1.579,1.998,2.467,2.985,3.855,4.836,6.316,9.868)*D294*E294*G294/1000,3))</f>
        <v>11.369</v>
      </c>
    </row>
    <row r="295" spans="1:20" ht="26.25" customHeight="1" x14ac:dyDescent="0.2">
      <c r="A295" s="6">
        <v>1686</v>
      </c>
      <c r="B295" s="6" t="s">
        <v>40</v>
      </c>
      <c r="C295" s="7">
        <v>16</v>
      </c>
      <c r="D295" s="8">
        <v>1</v>
      </c>
      <c r="E295" s="8">
        <v>4</v>
      </c>
      <c r="F295" s="9">
        <f t="shared" si="74"/>
        <v>4</v>
      </c>
      <c r="G295" s="10">
        <f>IF(H295=100,IF(ISERROR(0/C295/D295/E295/I295),"VOID",ROUND(I295,-1)),"FALSE")</f>
        <v>5200</v>
      </c>
      <c r="H295" s="11">
        <v>100</v>
      </c>
      <c r="I295" s="36">
        <v>5200</v>
      </c>
      <c r="J295" s="8"/>
      <c r="K295" s="37"/>
      <c r="L295" s="41"/>
      <c r="M295" s="8"/>
      <c r="N295" s="8"/>
      <c r="O295" s="8"/>
      <c r="P295" s="8"/>
      <c r="Q295" s="8"/>
      <c r="R295" s="8"/>
      <c r="S295" s="68"/>
      <c r="T295" s="34">
        <f>IF(C295="","",ROUND(CHOOSE(MATCH(C295,{5,6,7,8,10,12,14,16,18,20,22,25,28,32,40},0),0.154,0.222,0.302,0.395,0.617,0.888,1.209,1.579,1.998,2.467,2.985,3.855,4.836,6.316,9.868)*D295*E295*G295/1000,3))</f>
        <v>32.843000000000004</v>
      </c>
    </row>
    <row r="296" spans="1:20" ht="26.25" customHeight="1" x14ac:dyDescent="0.2">
      <c r="A296" s="6">
        <v>1687</v>
      </c>
      <c r="B296" s="6" t="s">
        <v>40</v>
      </c>
      <c r="C296" s="7">
        <v>16</v>
      </c>
      <c r="D296" s="8">
        <v>1</v>
      </c>
      <c r="E296" s="8">
        <v>2</v>
      </c>
      <c r="F296" s="9">
        <f t="shared" ref="F296:F302" si="75">D296*E296</f>
        <v>2</v>
      </c>
      <c r="G296" s="10">
        <f>IF(H296=483,IF(ISERROR(0/C296/D296/E296/I296/J296/K296/M296),"VOID",ROUND(I296+2*J296+K296+M296,-1)),"FALSE")</f>
        <v>5430</v>
      </c>
      <c r="H296" s="11">
        <v>483</v>
      </c>
      <c r="I296" s="36">
        <v>500</v>
      </c>
      <c r="J296" s="8">
        <v>300</v>
      </c>
      <c r="K296" s="66">
        <v>3825</v>
      </c>
      <c r="L296" s="54">
        <v>50</v>
      </c>
      <c r="M296" s="8">
        <v>500</v>
      </c>
      <c r="N296" s="8"/>
      <c r="O296" s="8"/>
      <c r="P296" s="8"/>
      <c r="Q296" s="8"/>
      <c r="R296" s="8"/>
      <c r="S296" s="33"/>
      <c r="T296" s="34">
        <f>IF(C296="","",ROUND(CHOOSE(MATCH(C296,{5,6,7,8,10,12,14,16,18,20,22,25,28,32,40},0),0.154,0.222,0.302,0.395,0.617,0.888,1.209,1.579,1.998,2.467,2.985,3.855,4.836,6.316,9.868)*D296*E296*G296/1000,3))</f>
        <v>17.148</v>
      </c>
    </row>
    <row r="297" spans="1:20" ht="26.25" customHeight="1" x14ac:dyDescent="0.2">
      <c r="A297" s="6">
        <v>1688</v>
      </c>
      <c r="B297" s="6" t="s">
        <v>40</v>
      </c>
      <c r="C297" s="7">
        <v>16</v>
      </c>
      <c r="D297" s="8">
        <v>1</v>
      </c>
      <c r="E297" s="8">
        <v>3</v>
      </c>
      <c r="F297" s="9">
        <f t="shared" si="75"/>
        <v>3</v>
      </c>
      <c r="G297" s="10">
        <f>IF(H297=111,IF(ISERROR(0/C297/D297/E297/I297/J297),"VOID",ROUND(I297+J297-IF(C297&lt;20,1.25*C297,1.75*C297),-1)),"FALSE")</f>
        <v>5080</v>
      </c>
      <c r="H297" s="11">
        <v>111</v>
      </c>
      <c r="I297" s="36">
        <v>150</v>
      </c>
      <c r="J297" s="36">
        <v>4950</v>
      </c>
      <c r="K297" s="36"/>
      <c r="L297" s="12"/>
      <c r="M297" s="37"/>
      <c r="N297" s="8"/>
      <c r="O297" s="8"/>
      <c r="P297" s="8"/>
      <c r="Q297" s="8"/>
      <c r="R297" s="8"/>
      <c r="S297" s="68"/>
      <c r="T297" s="34">
        <f>IF(C297="","",ROUND(CHOOSE(MATCH(C297,{5,6,7,8,10,12,14,16,18,20,22,25,28,32,40},0),0.154,0.222,0.302,0.395,0.617,0.888,1.209,1.579,1.998,2.467,2.985,3.855,4.836,6.316,9.868)*D297*E297*G297/1000,3))</f>
        <v>24.064</v>
      </c>
    </row>
    <row r="298" spans="1:20" ht="26.25" customHeight="1" x14ac:dyDescent="0.2">
      <c r="A298" s="6">
        <v>1006</v>
      </c>
      <c r="B298" s="6" t="s">
        <v>40</v>
      </c>
      <c r="C298" s="7">
        <v>10</v>
      </c>
      <c r="D298" s="8">
        <v>1</v>
      </c>
      <c r="E298" s="8">
        <v>81</v>
      </c>
      <c r="F298" s="9">
        <f t="shared" si="75"/>
        <v>81</v>
      </c>
      <c r="G298" s="10">
        <f>IF(H298=500,IF(ISERROR(0/C298/D298/E298/I298/J298/K298),"VOID",ROUND(2*(I298+J298+K298)-IF(C298&lt;20,6.25*C298,8.75*C298),-1)),"FALSE")</f>
        <v>1150</v>
      </c>
      <c r="H298" s="11">
        <v>500</v>
      </c>
      <c r="I298" s="36">
        <v>175</v>
      </c>
      <c r="J298" s="36">
        <v>300</v>
      </c>
      <c r="K298" s="36">
        <f>CEILING(MAX(C298*13,),5)</f>
        <v>130</v>
      </c>
      <c r="L298" s="38"/>
      <c r="M298" s="8"/>
      <c r="N298" s="37"/>
      <c r="O298" s="8"/>
      <c r="P298" s="8"/>
      <c r="Q298" s="8"/>
      <c r="R298" s="8"/>
      <c r="S298" s="68"/>
      <c r="T298" s="34">
        <f>IF(C298="","",ROUND(CHOOSE(MATCH(C298,{5,6,7,8,10,12,14,16,18,20,22,25,28,32,40},0),0.154,0.222,0.302,0.395,0.617,0.888,1.209,1.579,1.998,2.467,2.985,3.855,4.836,6.316,9.868)*D298*E298*G298/1000,3))</f>
        <v>57.473999999999997</v>
      </c>
    </row>
    <row r="299" spans="1:20" ht="54.75" customHeight="1" x14ac:dyDescent="0.2">
      <c r="A299" s="6">
        <v>1689</v>
      </c>
      <c r="B299" s="6" t="s">
        <v>78</v>
      </c>
      <c r="C299" s="7">
        <v>16</v>
      </c>
      <c r="D299" s="8">
        <v>1</v>
      </c>
      <c r="E299" s="8">
        <v>2</v>
      </c>
      <c r="F299" s="9">
        <f t="shared" si="75"/>
        <v>2</v>
      </c>
      <c r="G299" s="10">
        <f>IF(H299=310,IF(ISERROR(0/C299/D299/E299/I299/J299/K299/M299),"VOID",ROUND(I299+J299+K299+M299-IF(C299&lt;20,1.25*C299,1.75*C299),-1)),"FALSE")</f>
        <v>6110</v>
      </c>
      <c r="H299" s="11">
        <v>310</v>
      </c>
      <c r="I299" s="36">
        <v>500</v>
      </c>
      <c r="J299" s="50">
        <v>300</v>
      </c>
      <c r="K299" s="66">
        <v>5175</v>
      </c>
      <c r="L299" s="54">
        <v>50</v>
      </c>
      <c r="M299" s="50">
        <v>150</v>
      </c>
      <c r="N299" s="8"/>
      <c r="O299" s="8"/>
      <c r="P299" s="8"/>
      <c r="Q299" s="8"/>
      <c r="R299" s="8"/>
      <c r="S299" s="33"/>
      <c r="T299" s="34">
        <f>IF(C299="","",ROUND(CHOOSE(MATCH(C299,{5,6,7,8,10,12,14,16,18,20,22,25,28,32,40},0),0.154,0.222,0.302,0.395,0.617,0.888,1.209,1.579,1.998,2.467,2.985,3.855,4.836,6.316,9.868)*D299*E299*G299/1000,3))</f>
        <v>19.295000000000002</v>
      </c>
    </row>
    <row r="300" spans="1:20" ht="26.25" customHeight="1" x14ac:dyDescent="0.2">
      <c r="A300" s="6">
        <v>1690</v>
      </c>
      <c r="B300" s="6" t="s">
        <v>78</v>
      </c>
      <c r="C300" s="7">
        <v>16</v>
      </c>
      <c r="D300" s="8">
        <v>1</v>
      </c>
      <c r="E300" s="8">
        <v>3</v>
      </c>
      <c r="F300" s="9">
        <f t="shared" si="75"/>
        <v>3</v>
      </c>
      <c r="G300" s="10">
        <f>IF(H300=100,IF(ISERROR(0/C300/D300/E300/I300),"VOID",ROUND(I300,-1)),"FALSE")</f>
        <v>300</v>
      </c>
      <c r="H300" s="11">
        <v>100</v>
      </c>
      <c r="I300" s="36">
        <v>300</v>
      </c>
      <c r="J300" s="36"/>
      <c r="K300" s="36"/>
      <c r="L300" s="38"/>
      <c r="M300" s="8"/>
      <c r="N300" s="37"/>
      <c r="O300" s="8"/>
      <c r="P300" s="8"/>
      <c r="Q300" s="8"/>
      <c r="R300" s="8"/>
      <c r="S300" s="68"/>
      <c r="T300" s="34">
        <f>IF(C300="","",ROUND(CHOOSE(MATCH(C300,{5,6,7,8,10,12,14,16,18,20,22,25,28,32,40},0),0.154,0.222,0.302,0.395,0.617,0.888,1.209,1.579,1.998,2.467,2.985,3.855,4.836,6.316,9.868)*D300*E300*G300/1000,3))</f>
        <v>1.421</v>
      </c>
    </row>
    <row r="301" spans="1:20" ht="26.25" customHeight="1" x14ac:dyDescent="0.2">
      <c r="A301" s="6">
        <v>1691</v>
      </c>
      <c r="B301" s="6" t="s">
        <v>78</v>
      </c>
      <c r="C301" s="7">
        <v>16</v>
      </c>
      <c r="D301" s="8">
        <v>1</v>
      </c>
      <c r="E301" s="8">
        <v>2</v>
      </c>
      <c r="F301" s="9">
        <f t="shared" si="75"/>
        <v>2</v>
      </c>
      <c r="G301" s="10">
        <f>IF(H301=483,IF(ISERROR(0/C301/D301/E301/I301/J301/K301/M301),"VOID",ROUND(I301+2*J301+K301+M301,-1)),"FALSE")</f>
        <v>4630</v>
      </c>
      <c r="H301" s="11">
        <v>483</v>
      </c>
      <c r="I301" s="36">
        <v>500</v>
      </c>
      <c r="J301" s="50">
        <v>300</v>
      </c>
      <c r="K301" s="66">
        <v>3025</v>
      </c>
      <c r="L301" s="41">
        <v>50</v>
      </c>
      <c r="M301" s="8">
        <v>500</v>
      </c>
      <c r="N301" s="8"/>
      <c r="O301" s="8"/>
      <c r="P301" s="8"/>
      <c r="Q301" s="8"/>
      <c r="R301" s="8"/>
      <c r="S301" s="33"/>
      <c r="T301" s="34">
        <f>IF(C301="","",ROUND(CHOOSE(MATCH(C301,{5,6,7,8,10,12,14,16,18,20,22,25,28,32,40},0),0.154,0.222,0.302,0.395,0.617,0.888,1.209,1.579,1.998,2.467,2.985,3.855,4.836,6.316,9.868)*D301*E301*G301/1000,3))</f>
        <v>14.622</v>
      </c>
    </row>
    <row r="302" spans="1:20" ht="26.25" customHeight="1" x14ac:dyDescent="0.2">
      <c r="A302" s="6">
        <v>1692</v>
      </c>
      <c r="B302" s="6" t="s">
        <v>78</v>
      </c>
      <c r="C302" s="7">
        <v>16</v>
      </c>
      <c r="D302" s="8">
        <v>1</v>
      </c>
      <c r="E302" s="8">
        <v>3</v>
      </c>
      <c r="F302" s="9">
        <f t="shared" si="75"/>
        <v>3</v>
      </c>
      <c r="G302" s="10">
        <f>IF(H302=111,IF(ISERROR(0/C302/D302/E302/I302/J302),"VOID",ROUND(I302+J302-IF(C302&lt;20,1.25*C302,1.75*C302),-1)),"FALSE")</f>
        <v>4360</v>
      </c>
      <c r="H302" s="11">
        <v>111</v>
      </c>
      <c r="I302" s="36">
        <v>150</v>
      </c>
      <c r="J302" s="8">
        <v>4225</v>
      </c>
      <c r="K302" s="37"/>
      <c r="L302" s="41"/>
      <c r="M302" s="8"/>
      <c r="N302" s="8"/>
      <c r="O302" s="8"/>
      <c r="P302" s="8"/>
      <c r="Q302" s="8"/>
      <c r="R302" s="8"/>
      <c r="S302" s="69"/>
      <c r="T302" s="34">
        <f>IF(C302="","",ROUND(CHOOSE(MATCH(C302,{5,6,7,8,10,12,14,16,18,20,22,25,28,32,40},0),0.154,0.222,0.302,0.395,0.617,0.888,1.209,1.579,1.998,2.467,2.985,3.855,4.836,6.316,9.868)*D302*E302*G302/1000,3))</f>
        <v>20.652999999999999</v>
      </c>
    </row>
    <row r="303" spans="1:20" ht="26.25" customHeight="1" x14ac:dyDescent="0.2">
      <c r="A303" s="6">
        <v>1693</v>
      </c>
      <c r="B303" s="6" t="s">
        <v>78</v>
      </c>
      <c r="C303" s="7">
        <v>16</v>
      </c>
      <c r="D303" s="8">
        <v>1</v>
      </c>
      <c r="E303" s="8">
        <v>2</v>
      </c>
      <c r="F303" s="9">
        <f t="shared" ref="F303:F308" si="76">D303*E303</f>
        <v>2</v>
      </c>
      <c r="G303" s="10">
        <f>IF(H303=310,IF(ISERROR(0/C303/D303/E303/I303/J303/K303/M303),"VOID",ROUND(I303+J303+K303+M303-IF(C303&lt;20,1.25*C303,1.75*C303),-1)),"FALSE")</f>
        <v>7510</v>
      </c>
      <c r="H303" s="11">
        <v>310</v>
      </c>
      <c r="I303" s="36">
        <v>500</v>
      </c>
      <c r="J303" s="70">
        <v>300</v>
      </c>
      <c r="K303" s="50">
        <v>6575</v>
      </c>
      <c r="L303" s="54">
        <v>50</v>
      </c>
      <c r="M303" s="50">
        <v>150</v>
      </c>
      <c r="N303" s="8"/>
      <c r="O303" s="8"/>
      <c r="P303" s="8"/>
      <c r="Q303" s="8"/>
      <c r="R303" s="8"/>
      <c r="S303" s="33"/>
      <c r="T303" s="34">
        <f>IF(C303="","",ROUND(CHOOSE(MATCH(C303,{5,6,7,8,10,12,14,16,18,20,22,25,28,32,40},0),0.154,0.222,0.302,0.395,0.617,0.888,1.209,1.579,1.998,2.467,2.985,3.855,4.836,6.316,9.868)*D303*E303*G303/1000,3))</f>
        <v>23.716999999999999</v>
      </c>
    </row>
    <row r="304" spans="1:20" ht="26.25" customHeight="1" x14ac:dyDescent="0.2">
      <c r="A304" s="6">
        <v>1694</v>
      </c>
      <c r="B304" s="6" t="s">
        <v>78</v>
      </c>
      <c r="C304" s="7">
        <v>16</v>
      </c>
      <c r="D304" s="8">
        <v>1</v>
      </c>
      <c r="E304" s="8">
        <v>3</v>
      </c>
      <c r="F304" s="9">
        <f t="shared" si="76"/>
        <v>3</v>
      </c>
      <c r="G304" s="10">
        <f>IF(H304=100,IF(ISERROR(0/C304/D304/E304/I304),"VOID",ROUND(I304,-1)),"FALSE")</f>
        <v>6230</v>
      </c>
      <c r="H304" s="11">
        <v>100</v>
      </c>
      <c r="I304" s="36">
        <v>6225</v>
      </c>
      <c r="J304" s="36"/>
      <c r="K304" s="36"/>
      <c r="L304" s="38"/>
      <c r="M304" s="8"/>
      <c r="N304" s="37"/>
      <c r="O304" s="8"/>
      <c r="P304" s="8"/>
      <c r="Q304" s="8"/>
      <c r="R304" s="8"/>
      <c r="S304" s="68"/>
      <c r="T304" s="34">
        <f>IF(C304="","",ROUND(CHOOSE(MATCH(C304,{5,6,7,8,10,12,14,16,18,20,22,25,28,32,40},0),0.154,0.222,0.302,0.395,0.617,0.888,1.209,1.579,1.998,2.467,2.985,3.855,4.836,6.316,9.868)*D304*E304*G304/1000,3))</f>
        <v>29.512</v>
      </c>
    </row>
    <row r="305" spans="1:20" ht="54.75" customHeight="1" x14ac:dyDescent="0.2">
      <c r="A305" s="6">
        <v>1695</v>
      </c>
      <c r="B305" s="6" t="s">
        <v>78</v>
      </c>
      <c r="C305" s="7">
        <v>16</v>
      </c>
      <c r="D305" s="8">
        <v>1</v>
      </c>
      <c r="E305" s="8">
        <v>2</v>
      </c>
      <c r="F305" s="9">
        <f t="shared" si="76"/>
        <v>2</v>
      </c>
      <c r="G305" s="10">
        <f>IF(H305=310,IF(ISERROR(0/C305/D305/E305/I305/J305/K305/M305),"VOID",ROUND(I305+J305+K305+M305-IF(C305&lt;20,1.25*C305,1.75*C305),-1)),"FALSE")</f>
        <v>3560</v>
      </c>
      <c r="H305" s="11">
        <v>310</v>
      </c>
      <c r="I305" s="36">
        <v>500</v>
      </c>
      <c r="J305" s="36">
        <v>300</v>
      </c>
      <c r="K305" s="8">
        <v>2625</v>
      </c>
      <c r="L305" s="54">
        <v>50</v>
      </c>
      <c r="M305" s="50">
        <v>150</v>
      </c>
      <c r="N305" s="8"/>
      <c r="O305" s="8"/>
      <c r="P305" s="8"/>
      <c r="Q305" s="8"/>
      <c r="R305" s="8"/>
      <c r="S305" s="33"/>
      <c r="T305" s="34">
        <f>IF(C305="","",ROUND(CHOOSE(MATCH(C305,{5,6,7,8,10,12,14,16,18,20,22,25,28,32,40},0),0.154,0.222,0.302,0.395,0.617,0.888,1.209,1.579,1.998,2.467,2.985,3.855,4.836,6.316,9.868)*D305*E305*G305/1000,3))</f>
        <v>11.242000000000001</v>
      </c>
    </row>
    <row r="306" spans="1:20" ht="26.25" customHeight="1" x14ac:dyDescent="0.2">
      <c r="A306" s="6">
        <v>1006</v>
      </c>
      <c r="B306" s="6" t="s">
        <v>78</v>
      </c>
      <c r="C306" s="7">
        <v>10</v>
      </c>
      <c r="D306" s="8">
        <v>1</v>
      </c>
      <c r="E306" s="8">
        <v>31</v>
      </c>
      <c r="F306" s="9">
        <f t="shared" si="76"/>
        <v>31</v>
      </c>
      <c r="G306" s="10">
        <f>IF(H306=500,IF(ISERROR(0/C306/D306/E306/I306/J306/K306),"VOID",ROUND(2*(I306+J306+K306)-IF(C306&lt;20,6.25*C306,8.75*C306),-1)),"FALSE")</f>
        <v>1150</v>
      </c>
      <c r="H306" s="11">
        <v>500</v>
      </c>
      <c r="I306" s="36">
        <v>175</v>
      </c>
      <c r="J306" s="36">
        <v>300</v>
      </c>
      <c r="K306" s="36">
        <f>CEILING(MAX(C306*13,),5)</f>
        <v>130</v>
      </c>
      <c r="L306" s="38"/>
      <c r="M306" s="8"/>
      <c r="N306" s="37"/>
      <c r="O306" s="8"/>
      <c r="P306" s="8"/>
      <c r="Q306" s="8"/>
      <c r="R306" s="8"/>
      <c r="S306" s="68"/>
      <c r="T306" s="34">
        <f>IF(C306="","",ROUND(CHOOSE(MATCH(C306,{5,6,7,8,10,12,14,16,18,20,22,25,28,32,40},0),0.154,0.222,0.302,0.395,0.617,0.888,1.209,1.579,1.998,2.467,2.985,3.855,4.836,6.316,9.868)*D306*E306*G306/1000,3))</f>
        <v>21.995999999999999</v>
      </c>
    </row>
    <row r="307" spans="1:20" ht="26.25" customHeight="1" x14ac:dyDescent="0.2">
      <c r="A307" s="6">
        <v>1658</v>
      </c>
      <c r="B307" s="6" t="s">
        <v>79</v>
      </c>
      <c r="C307" s="7">
        <v>16</v>
      </c>
      <c r="D307" s="8">
        <v>1</v>
      </c>
      <c r="E307" s="8">
        <v>6</v>
      </c>
      <c r="F307" s="9">
        <f t="shared" si="76"/>
        <v>6</v>
      </c>
      <c r="G307" s="10">
        <f>IF(H307=200,IF(ISERROR(0/C307/D307/E307/I307/J307/K307),"VOID",ROUND(I307+J307+K307-IF(C307&lt;20,2.5*C307,3.5*C307),-1)),"FALSE")</f>
        <v>4540</v>
      </c>
      <c r="H307" s="11">
        <v>200</v>
      </c>
      <c r="I307" s="36">
        <v>150</v>
      </c>
      <c r="J307" s="36">
        <v>4275</v>
      </c>
      <c r="K307" s="8">
        <v>150</v>
      </c>
      <c r="L307" s="54"/>
      <c r="M307" s="50"/>
      <c r="N307" s="8"/>
      <c r="O307" s="8"/>
      <c r="P307" s="8"/>
      <c r="Q307" s="8"/>
      <c r="R307" s="8"/>
      <c r="S307" s="68"/>
      <c r="T307" s="34">
        <f>IF(C307="","",ROUND(CHOOSE(MATCH(C307,{5,6,7,8,10,12,14,16,18,20,22,25,28,32,40},0),0.154,0.222,0.302,0.395,0.617,0.888,1.209,1.579,1.998,2.467,2.985,3.855,4.836,6.316,9.868)*D307*E307*G307/1000,3))</f>
        <v>43.012</v>
      </c>
    </row>
    <row r="308" spans="1:20" ht="26.25" customHeight="1" x14ac:dyDescent="0.2">
      <c r="A308" s="6">
        <v>1006</v>
      </c>
      <c r="B308" s="6" t="s">
        <v>79</v>
      </c>
      <c r="C308" s="7">
        <v>10</v>
      </c>
      <c r="D308" s="8">
        <v>1</v>
      </c>
      <c r="E308" s="8">
        <v>17</v>
      </c>
      <c r="F308" s="9">
        <f t="shared" si="76"/>
        <v>17</v>
      </c>
      <c r="G308" s="10">
        <f>IF(H308=500,IF(ISERROR(0/C308/D308/E308/I308/J308/K308),"VOID",ROUND(2*(I308+J308+K308)-IF(C308&lt;20,6.25*C308,8.75*C308),-1)),"FALSE")</f>
        <v>1150</v>
      </c>
      <c r="H308" s="11">
        <v>500</v>
      </c>
      <c r="I308" s="36">
        <v>175</v>
      </c>
      <c r="J308" s="36">
        <v>300</v>
      </c>
      <c r="K308" s="36">
        <f>CEILING(MAX(C308*13,),5)</f>
        <v>130</v>
      </c>
      <c r="L308" s="38"/>
      <c r="M308" s="8"/>
      <c r="N308" s="37"/>
      <c r="O308" s="8"/>
      <c r="P308" s="8"/>
      <c r="Q308" s="8"/>
      <c r="R308" s="8"/>
      <c r="S308" s="68"/>
      <c r="T308" s="34">
        <f>IF(C308="","",ROUND(CHOOSE(MATCH(C308,{5,6,7,8,10,12,14,16,18,20,22,25,28,32,40},0),0.154,0.222,0.302,0.395,0.617,0.888,1.209,1.579,1.998,2.467,2.985,3.855,4.836,6.316,9.868)*D308*E308*G308/1000,3))</f>
        <v>12.061999999999999</v>
      </c>
    </row>
    <row r="309" spans="1:20" ht="26.25" customHeight="1" x14ac:dyDescent="0.2">
      <c r="A309" s="6">
        <v>1696</v>
      </c>
      <c r="B309" s="6" t="s">
        <v>80</v>
      </c>
      <c r="C309" s="7">
        <v>16</v>
      </c>
      <c r="D309" s="8">
        <v>1</v>
      </c>
      <c r="E309" s="8">
        <v>2</v>
      </c>
      <c r="F309" s="9">
        <f t="shared" ref="F309:F314" si="77">D309*E309</f>
        <v>2</v>
      </c>
      <c r="G309" s="10">
        <f>IF(H309=310,IF(ISERROR(0/C309/D309/E309/I309/J309/K309/M309),"VOID",ROUND(I309+J309+K309+M309-IF(C309&lt;20,1.25*C309,1.75*C309),-1)),"FALSE")</f>
        <v>5560</v>
      </c>
      <c r="H309" s="11">
        <v>310</v>
      </c>
      <c r="I309" s="36">
        <v>500</v>
      </c>
      <c r="J309" s="36">
        <v>300</v>
      </c>
      <c r="K309" s="55">
        <v>4625</v>
      </c>
      <c r="L309" s="38">
        <v>50</v>
      </c>
      <c r="M309" s="8">
        <v>150</v>
      </c>
      <c r="N309" s="37"/>
      <c r="O309" s="8"/>
      <c r="P309" s="8"/>
      <c r="Q309" s="8"/>
      <c r="R309" s="8"/>
      <c r="S309" s="33"/>
      <c r="T309" s="34">
        <f>IF(C309="","",ROUND(CHOOSE(MATCH(C309,{5,6,7,8,10,12,14,16,18,20,22,25,28,32,40},0),0.154,0.222,0.302,0.395,0.617,0.888,1.209,1.579,1.998,2.467,2.985,3.855,4.836,6.316,9.868)*D309*E309*G309/1000,3))</f>
        <v>17.558</v>
      </c>
    </row>
    <row r="310" spans="1:20" ht="26.25" customHeight="1" x14ac:dyDescent="0.2">
      <c r="A310" s="6">
        <v>2097</v>
      </c>
      <c r="B310" s="6" t="s">
        <v>80</v>
      </c>
      <c r="C310" s="7">
        <v>20</v>
      </c>
      <c r="D310" s="8">
        <v>1</v>
      </c>
      <c r="E310" s="8">
        <v>4</v>
      </c>
      <c r="F310" s="9">
        <f t="shared" si="77"/>
        <v>4</v>
      </c>
      <c r="G310" s="10">
        <f>IF(H310=111,IF(ISERROR(0/C310/D310/E310/I310/J310),"VOID",ROUND(I310+J310-IF(C310&lt;20,1.25*C310,1.75*C310),-1)),"FALSE")</f>
        <v>4340</v>
      </c>
      <c r="H310" s="11">
        <v>111</v>
      </c>
      <c r="I310" s="36">
        <v>150</v>
      </c>
      <c r="J310" s="36">
        <v>4225</v>
      </c>
      <c r="K310" s="8"/>
      <c r="L310" s="53"/>
      <c r="M310" s="8"/>
      <c r="N310" s="37"/>
      <c r="O310" s="8"/>
      <c r="P310" s="8"/>
      <c r="Q310" s="8"/>
      <c r="R310" s="8"/>
      <c r="S310" s="68"/>
      <c r="T310" s="34">
        <f>IF(C310="","",ROUND(CHOOSE(MATCH(C310,{5,6,7,8,10,12,14,16,18,20,22,25,28,32,40},0),0.154,0.222,0.302,0.395,0.617,0.888,1.209,1.579,1.998,2.467,2.985,3.855,4.836,6.316,9.868)*D310*E310*G310/1000,3))</f>
        <v>42.826999999999998</v>
      </c>
    </row>
    <row r="311" spans="1:20" ht="26.25" customHeight="1" x14ac:dyDescent="0.2">
      <c r="A311" s="6">
        <v>2098</v>
      </c>
      <c r="B311" s="6" t="s">
        <v>80</v>
      </c>
      <c r="C311" s="7">
        <v>20</v>
      </c>
      <c r="D311" s="8">
        <v>1</v>
      </c>
      <c r="E311" s="8">
        <v>3</v>
      </c>
      <c r="F311" s="9">
        <f t="shared" si="77"/>
        <v>3</v>
      </c>
      <c r="G311" s="10">
        <f>IF(H311=200,IF(ISERROR(0/C311/D311/E311/I311/J311/K311),"VOID",ROUND(I311+J311+K311-IF(C311&lt;20,2.5*C311,3.5*C311),-1)),"FALSE")</f>
        <v>9080</v>
      </c>
      <c r="H311" s="11">
        <v>200</v>
      </c>
      <c r="I311" s="36">
        <v>150</v>
      </c>
      <c r="J311" s="55">
        <v>8850</v>
      </c>
      <c r="K311" s="55">
        <v>150</v>
      </c>
      <c r="L311" s="57"/>
      <c r="M311" s="50"/>
      <c r="N311" s="37"/>
      <c r="O311" s="8"/>
      <c r="P311" s="8"/>
      <c r="Q311" s="8"/>
      <c r="R311" s="8"/>
      <c r="S311" s="68"/>
      <c r="T311" s="34">
        <f>IF(C311="","",ROUND(CHOOSE(MATCH(C311,{5,6,7,8,10,12,14,16,18,20,22,25,28,32,40},0),0.154,0.222,0.302,0.395,0.617,0.888,1.209,1.579,1.998,2.467,2.985,3.855,4.836,6.316,9.868)*D311*E311*G311/1000,3))</f>
        <v>67.200999999999993</v>
      </c>
    </row>
    <row r="312" spans="1:20" ht="54.75" customHeight="1" x14ac:dyDescent="0.2">
      <c r="A312" s="6">
        <v>2099</v>
      </c>
      <c r="B312" s="6" t="s">
        <v>80</v>
      </c>
      <c r="C312" s="7">
        <v>20</v>
      </c>
      <c r="D312" s="8">
        <v>1</v>
      </c>
      <c r="E312" s="8">
        <v>3</v>
      </c>
      <c r="F312" s="9">
        <f t="shared" si="77"/>
        <v>3</v>
      </c>
      <c r="G312" s="10">
        <f>IF(H312=100,IF(ISERROR(0/C312/D312/E312/I312),"VOID",ROUND(I312,-1)),"FALSE")</f>
        <v>3200</v>
      </c>
      <c r="H312" s="11">
        <v>100</v>
      </c>
      <c r="I312" s="36">
        <v>3200</v>
      </c>
      <c r="J312" s="55"/>
      <c r="K312" s="55"/>
      <c r="L312" s="57"/>
      <c r="M312" s="50"/>
      <c r="N312" s="37"/>
      <c r="O312" s="8"/>
      <c r="P312" s="8"/>
      <c r="Q312" s="8"/>
      <c r="R312" s="8"/>
      <c r="S312" s="68"/>
      <c r="T312" s="34">
        <f>IF(C312="","",ROUND(CHOOSE(MATCH(C312,{5,6,7,8,10,12,14,16,18,20,22,25,28,32,40},0),0.154,0.222,0.302,0.395,0.617,0.888,1.209,1.579,1.998,2.467,2.985,3.855,4.836,6.316,9.868)*D312*E312*G312/1000,3))</f>
        <v>23.683</v>
      </c>
    </row>
    <row r="313" spans="1:20" ht="26.25" customHeight="1" x14ac:dyDescent="0.2">
      <c r="A313" s="6">
        <v>20100</v>
      </c>
      <c r="B313" s="6" t="s">
        <v>80</v>
      </c>
      <c r="C313" s="7">
        <v>20</v>
      </c>
      <c r="D313" s="8">
        <v>1</v>
      </c>
      <c r="E313" s="8">
        <v>2</v>
      </c>
      <c r="F313" s="9">
        <f t="shared" si="77"/>
        <v>2</v>
      </c>
      <c r="G313" s="10">
        <f>IF(H313=100,IF(ISERROR(0/C313/D313/E313/I313),"VOID",ROUND(I313,-1)),"FALSE")</f>
        <v>6230</v>
      </c>
      <c r="H313" s="11">
        <v>100</v>
      </c>
      <c r="I313" s="36">
        <v>6225</v>
      </c>
      <c r="J313" s="36"/>
      <c r="K313" s="36"/>
      <c r="L313" s="38"/>
      <c r="M313" s="8"/>
      <c r="N313" s="37"/>
      <c r="O313" s="8"/>
      <c r="P313" s="8"/>
      <c r="Q313" s="8"/>
      <c r="R313" s="8"/>
      <c r="S313" s="68"/>
      <c r="T313" s="34">
        <f>IF(C313="","",ROUND(CHOOSE(MATCH(C313,{5,6,7,8,10,12,14,16,18,20,22,25,28,32,40},0),0.154,0.222,0.302,0.395,0.617,0.888,1.209,1.579,1.998,2.467,2.985,3.855,4.836,6.316,9.868)*D313*E313*G313/1000,3))</f>
        <v>30.739000000000001</v>
      </c>
    </row>
    <row r="314" spans="1:20" ht="26.25" customHeight="1" x14ac:dyDescent="0.2">
      <c r="A314" s="6">
        <v>16101</v>
      </c>
      <c r="B314" s="6" t="s">
        <v>81</v>
      </c>
      <c r="C314" s="7">
        <v>16</v>
      </c>
      <c r="D314" s="8">
        <v>1</v>
      </c>
      <c r="E314" s="8">
        <v>2</v>
      </c>
      <c r="F314" s="9">
        <f t="shared" si="77"/>
        <v>2</v>
      </c>
      <c r="G314" s="10">
        <f>IF(H314=310,IF(ISERROR(0/C314/D314/E314/I314/J314/K314/M314),"VOID",ROUND(I314+J314+K314+M314-IF(C314&lt;20,1.25*C314,1.75*C314),-1)),"FALSE")</f>
        <v>4830</v>
      </c>
      <c r="H314" s="11">
        <v>310</v>
      </c>
      <c r="I314" s="36">
        <v>500</v>
      </c>
      <c r="J314" s="36">
        <v>300</v>
      </c>
      <c r="K314" s="36">
        <v>3900</v>
      </c>
      <c r="L314" s="38">
        <v>50</v>
      </c>
      <c r="M314" s="8">
        <v>150</v>
      </c>
      <c r="N314" s="37"/>
      <c r="O314" s="8"/>
      <c r="P314" s="8"/>
      <c r="Q314" s="8"/>
      <c r="R314" s="8"/>
      <c r="S314" s="33"/>
      <c r="T314" s="34">
        <f>IF(C314="","",ROUND(CHOOSE(MATCH(C314,{5,6,7,8,10,12,14,16,18,20,22,25,28,32,40},0),0.154,0.222,0.302,0.395,0.617,0.888,1.209,1.579,1.998,2.467,2.985,3.855,4.836,6.316,9.868)*D314*E314*G314/1000,3))</f>
        <v>15.253</v>
      </c>
    </row>
    <row r="315" spans="1:20" ht="26.25" customHeight="1" x14ac:dyDescent="0.2">
      <c r="A315" s="6">
        <v>16102</v>
      </c>
      <c r="B315" s="6" t="s">
        <v>81</v>
      </c>
      <c r="C315" s="7">
        <v>16</v>
      </c>
      <c r="D315" s="8">
        <v>1</v>
      </c>
      <c r="E315" s="8">
        <v>4</v>
      </c>
      <c r="F315" s="9">
        <f t="shared" ref="F315:F320" si="78">D315*E315</f>
        <v>4</v>
      </c>
      <c r="G315" s="10">
        <f>IF(H315=100,IF(ISERROR(0/C315/D315/E315/I315),"VOID",ROUND(I315,-1)),"FALSE")</f>
        <v>2300</v>
      </c>
      <c r="H315" s="11">
        <v>100</v>
      </c>
      <c r="I315" s="36">
        <v>2300</v>
      </c>
      <c r="J315" s="36"/>
      <c r="K315" s="36"/>
      <c r="L315" s="38"/>
      <c r="M315" s="8"/>
      <c r="N315" s="37"/>
      <c r="O315" s="8"/>
      <c r="P315" s="8"/>
      <c r="Q315" s="8"/>
      <c r="R315" s="8"/>
      <c r="S315" s="68"/>
      <c r="T315" s="34">
        <f>IF(C315="","",ROUND(CHOOSE(MATCH(C315,{5,6,7,8,10,12,14,16,18,20,22,25,28,32,40},0),0.154,0.222,0.302,0.395,0.617,0.888,1.209,1.579,1.998,2.467,2.985,3.855,4.836,6.316,9.868)*D315*E315*G315/1000,3))</f>
        <v>14.526999999999999</v>
      </c>
    </row>
    <row r="316" spans="1:20" ht="26.25" customHeight="1" x14ac:dyDescent="0.2">
      <c r="A316" s="6">
        <v>16103</v>
      </c>
      <c r="B316" s="6" t="s">
        <v>81</v>
      </c>
      <c r="C316" s="7">
        <v>16</v>
      </c>
      <c r="D316" s="8">
        <v>1</v>
      </c>
      <c r="E316" s="8">
        <v>2</v>
      </c>
      <c r="F316" s="9">
        <f t="shared" si="78"/>
        <v>2</v>
      </c>
      <c r="G316" s="10">
        <f>IF(H316=483,IF(ISERROR(0/C316/D316/E316/I316/J316/K316/M316),"VOID",ROUND(I316+2*J316+K316+M316,-1)),"FALSE")</f>
        <v>3430</v>
      </c>
      <c r="H316" s="11">
        <v>483</v>
      </c>
      <c r="I316" s="36">
        <v>500</v>
      </c>
      <c r="J316" s="36">
        <v>300</v>
      </c>
      <c r="K316" s="36">
        <v>1825</v>
      </c>
      <c r="L316" s="38">
        <v>50</v>
      </c>
      <c r="M316" s="8">
        <v>500</v>
      </c>
      <c r="N316" s="37"/>
      <c r="O316" s="8"/>
      <c r="P316" s="8"/>
      <c r="Q316" s="8"/>
      <c r="R316" s="8"/>
      <c r="S316" s="33"/>
      <c r="T316" s="34">
        <f>IF(C316="","",ROUND(CHOOSE(MATCH(C316,{5,6,7,8,10,12,14,16,18,20,22,25,28,32,40},0),0.154,0.222,0.302,0.395,0.617,0.888,1.209,1.579,1.998,2.467,2.985,3.855,4.836,6.316,9.868)*D316*E316*G316/1000,3))</f>
        <v>10.832000000000001</v>
      </c>
    </row>
    <row r="317" spans="1:20" ht="26.25" customHeight="1" x14ac:dyDescent="0.2">
      <c r="A317" s="6">
        <v>16104</v>
      </c>
      <c r="B317" s="6" t="s">
        <v>81</v>
      </c>
      <c r="C317" s="7">
        <v>16</v>
      </c>
      <c r="D317" s="8">
        <v>1</v>
      </c>
      <c r="E317" s="8">
        <v>4</v>
      </c>
      <c r="F317" s="9">
        <f t="shared" si="78"/>
        <v>4</v>
      </c>
      <c r="G317" s="10">
        <f>IF(H317=310,IF(ISERROR(0/C317/D317/E317/I317/J317/K317/M317),"VOID",ROUND(I317+J317+K317+M317-IF(C317&lt;20,1.25*C317,1.75*C317),-1)),"FALSE")</f>
        <v>4880</v>
      </c>
      <c r="H317" s="11">
        <v>310</v>
      </c>
      <c r="I317" s="36">
        <v>500</v>
      </c>
      <c r="J317" s="36">
        <v>300</v>
      </c>
      <c r="K317" s="36">
        <v>3950</v>
      </c>
      <c r="L317" s="38">
        <v>50</v>
      </c>
      <c r="M317" s="8">
        <v>150</v>
      </c>
      <c r="N317" s="37"/>
      <c r="O317" s="8"/>
      <c r="P317" s="8"/>
      <c r="Q317" s="8"/>
      <c r="R317" s="8"/>
      <c r="S317" s="33"/>
      <c r="T317" s="34">
        <f>IF(C317="","",ROUND(CHOOSE(MATCH(C317,{5,6,7,8,10,12,14,16,18,20,22,25,28,32,40},0),0.154,0.222,0.302,0.395,0.617,0.888,1.209,1.579,1.998,2.467,2.985,3.855,4.836,6.316,9.868)*D317*E317*G317/1000,3))</f>
        <v>30.821999999999999</v>
      </c>
    </row>
    <row r="318" spans="1:20" ht="32.25" customHeight="1" x14ac:dyDescent="0.2">
      <c r="A318" s="6">
        <v>16105</v>
      </c>
      <c r="B318" s="6" t="s">
        <v>81</v>
      </c>
      <c r="C318" s="7">
        <v>16</v>
      </c>
      <c r="D318" s="8">
        <v>1</v>
      </c>
      <c r="E318" s="8">
        <v>2</v>
      </c>
      <c r="F318" s="9">
        <f t="shared" si="78"/>
        <v>2</v>
      </c>
      <c r="G318" s="10">
        <f>IF(H318=310,IF(ISERROR(0/C318/D318/E318/I318/J318/K318/M318),"VOID",ROUND(I318+J318+K318+M318-IF(C318&lt;20,1.25*C318,1.75*C318),-1)),"FALSE")</f>
        <v>6130</v>
      </c>
      <c r="H318" s="11">
        <v>310</v>
      </c>
      <c r="I318" s="36">
        <v>500</v>
      </c>
      <c r="J318" s="36">
        <v>300</v>
      </c>
      <c r="K318" s="36">
        <v>5200</v>
      </c>
      <c r="L318" s="38">
        <v>50</v>
      </c>
      <c r="M318" s="8">
        <v>150</v>
      </c>
      <c r="N318" s="37"/>
      <c r="O318" s="8"/>
      <c r="P318" s="8"/>
      <c r="Q318" s="8"/>
      <c r="R318" s="8"/>
      <c r="S318" s="33"/>
      <c r="T318" s="34">
        <f>IF(C318="","",ROUND(CHOOSE(MATCH(C318,{5,6,7,8,10,12,14,16,18,20,22,25,28,32,40},0),0.154,0.222,0.302,0.395,0.617,0.888,1.209,1.579,1.998,2.467,2.985,3.855,4.836,6.316,9.868)*D318*E318*G318/1000,3))</f>
        <v>19.359000000000002</v>
      </c>
    </row>
    <row r="319" spans="1:20" ht="26.25" customHeight="1" x14ac:dyDescent="0.2">
      <c r="A319" s="6">
        <v>16106</v>
      </c>
      <c r="B319" s="6" t="s">
        <v>81</v>
      </c>
      <c r="C319" s="7">
        <v>16</v>
      </c>
      <c r="D319" s="8">
        <v>1</v>
      </c>
      <c r="E319" s="8">
        <v>3</v>
      </c>
      <c r="F319" s="9">
        <f t="shared" si="78"/>
        <v>3</v>
      </c>
      <c r="G319" s="10">
        <f>IF(H319=100,IF(ISERROR(0/C319/D319/E319/I319),"VOID",ROUND(I319,-1)),"FALSE")</f>
        <v>3830</v>
      </c>
      <c r="H319" s="11">
        <v>100</v>
      </c>
      <c r="I319" s="36">
        <v>3825</v>
      </c>
      <c r="J319" s="36"/>
      <c r="K319" s="36"/>
      <c r="L319" s="38"/>
      <c r="M319" s="8"/>
      <c r="N319" s="37"/>
      <c r="O319" s="8"/>
      <c r="P319" s="8"/>
      <c r="Q319" s="8"/>
      <c r="R319" s="8"/>
      <c r="S319" s="68"/>
      <c r="T319" s="34">
        <f>IF(C319="","",ROUND(CHOOSE(MATCH(C319,{5,6,7,8,10,12,14,16,18,20,22,25,28,32,40},0),0.154,0.222,0.302,0.395,0.617,0.888,1.209,1.579,1.998,2.467,2.985,3.855,4.836,6.316,9.868)*D319*E319*G319/1000,3))</f>
        <v>18.143000000000001</v>
      </c>
    </row>
    <row r="320" spans="1:20" ht="26.25" customHeight="1" x14ac:dyDescent="0.2">
      <c r="A320" s="6">
        <v>16107</v>
      </c>
      <c r="B320" s="6" t="s">
        <v>81</v>
      </c>
      <c r="C320" s="7">
        <v>16</v>
      </c>
      <c r="D320" s="8">
        <v>1</v>
      </c>
      <c r="E320" s="8">
        <v>2</v>
      </c>
      <c r="F320" s="9">
        <f t="shared" si="78"/>
        <v>2</v>
      </c>
      <c r="G320" s="10">
        <f>IF(H320=310,IF(ISERROR(0/C320/D320/E320/I320/J320/K320/M320),"VOID",ROUND(I320+J320+K320+M320-IF(C320&lt;20,1.25*C320,1.75*C320),-1)),"FALSE")</f>
        <v>5880</v>
      </c>
      <c r="H320" s="11">
        <v>310</v>
      </c>
      <c r="I320" s="36">
        <v>500</v>
      </c>
      <c r="J320" s="36">
        <v>300</v>
      </c>
      <c r="K320" s="55">
        <v>4950</v>
      </c>
      <c r="L320" s="38">
        <v>50</v>
      </c>
      <c r="M320" s="8">
        <v>150</v>
      </c>
      <c r="N320" s="37"/>
      <c r="O320" s="8"/>
      <c r="P320" s="8"/>
      <c r="Q320" s="8"/>
      <c r="R320" s="8"/>
      <c r="S320" s="33"/>
      <c r="T320" s="34">
        <f>IF(C320="","",ROUND(CHOOSE(MATCH(C320,{5,6,7,8,10,12,14,16,18,20,22,25,28,32,40},0),0.154,0.222,0.302,0.395,0.617,0.888,1.209,1.579,1.998,2.467,2.985,3.855,4.836,6.316,9.868)*D320*E320*G320/1000,3))</f>
        <v>18.568999999999999</v>
      </c>
    </row>
    <row r="321" spans="1:20" ht="26.25" customHeight="1" x14ac:dyDescent="0.2">
      <c r="A321" s="6">
        <v>20108</v>
      </c>
      <c r="B321" s="6" t="s">
        <v>82</v>
      </c>
      <c r="C321" s="7">
        <v>20</v>
      </c>
      <c r="D321" s="8">
        <v>1</v>
      </c>
      <c r="E321" s="8">
        <v>4</v>
      </c>
      <c r="F321" s="9">
        <f t="shared" ref="F321:F326" si="79">D321*E321</f>
        <v>4</v>
      </c>
      <c r="G321" s="10">
        <f>IF(H321=111,IF(ISERROR(0/C321/D321/E321/I321/J321),"VOID",ROUND(I321+J321-IF(C321&lt;20,1.25*C321,1.75*C321),-1)),"FALSE")</f>
        <v>4740</v>
      </c>
      <c r="H321" s="11">
        <v>111</v>
      </c>
      <c r="I321" s="36">
        <v>150</v>
      </c>
      <c r="J321" s="36">
        <v>4625</v>
      </c>
      <c r="K321" s="8"/>
      <c r="L321" s="53"/>
      <c r="M321" s="8"/>
      <c r="N321" s="37"/>
      <c r="O321" s="8"/>
      <c r="P321" s="8"/>
      <c r="Q321" s="8"/>
      <c r="R321" s="8"/>
      <c r="S321" s="68"/>
      <c r="T321" s="34">
        <f>IF(C321="","",ROUND(CHOOSE(MATCH(C321,{5,6,7,8,10,12,14,16,18,20,22,25,28,32,40},0),0.154,0.222,0.302,0.395,0.617,0.888,1.209,1.579,1.998,2.467,2.985,3.855,4.836,6.316,9.868)*D321*E321*G321/1000,3))</f>
        <v>46.774000000000001</v>
      </c>
    </row>
    <row r="322" spans="1:20" ht="26.25" customHeight="1" x14ac:dyDescent="0.2">
      <c r="A322" s="6">
        <v>16109</v>
      </c>
      <c r="B322" s="6" t="s">
        <v>82</v>
      </c>
      <c r="C322" s="7">
        <v>16</v>
      </c>
      <c r="D322" s="8">
        <v>1</v>
      </c>
      <c r="E322" s="8">
        <v>2</v>
      </c>
      <c r="F322" s="9">
        <f t="shared" si="79"/>
        <v>2</v>
      </c>
      <c r="G322" s="10">
        <f>IF(H322=483,IF(ISERROR(0/C322/D322/E322/I322/J322/K322/M322),"VOID",ROUND(I322+2*J322+K322+M322,-1)),"FALSE")</f>
        <v>5130</v>
      </c>
      <c r="H322" s="11">
        <v>483</v>
      </c>
      <c r="I322" s="36">
        <v>500</v>
      </c>
      <c r="J322" s="36">
        <v>300</v>
      </c>
      <c r="K322" s="55">
        <v>3525</v>
      </c>
      <c r="L322" s="57">
        <v>50</v>
      </c>
      <c r="M322" s="50">
        <v>500</v>
      </c>
      <c r="N322" s="37"/>
      <c r="O322" s="8"/>
      <c r="P322" s="8"/>
      <c r="Q322" s="8"/>
      <c r="R322" s="8"/>
      <c r="S322" s="33"/>
      <c r="T322" s="34">
        <f>IF(C322="","",ROUND(CHOOSE(MATCH(C322,{5,6,7,8,10,12,14,16,18,20,22,25,28,32,40},0),0.154,0.222,0.302,0.395,0.617,0.888,1.209,1.579,1.998,2.467,2.985,3.855,4.836,6.316,9.868)*D322*E322*G322/1000,3))</f>
        <v>16.201000000000001</v>
      </c>
    </row>
    <row r="323" spans="1:20" ht="26.25" customHeight="1" x14ac:dyDescent="0.2">
      <c r="A323" s="6">
        <v>20110</v>
      </c>
      <c r="B323" s="6" t="s">
        <v>82</v>
      </c>
      <c r="C323" s="7">
        <v>20</v>
      </c>
      <c r="D323" s="8">
        <v>1</v>
      </c>
      <c r="E323" s="8">
        <v>4</v>
      </c>
      <c r="F323" s="9">
        <f t="shared" si="79"/>
        <v>4</v>
      </c>
      <c r="G323" s="10">
        <f>IF(H323=111,IF(ISERROR(0/C323/D323/E323/I323/J323),"VOID",ROUND(I323+J323-IF(C323&lt;20,1.25*C323,1.75*C323),-1)),"FALSE")</f>
        <v>5940</v>
      </c>
      <c r="H323" s="11">
        <v>111</v>
      </c>
      <c r="I323" s="36">
        <v>150</v>
      </c>
      <c r="J323" s="36">
        <v>5825</v>
      </c>
      <c r="K323" s="36"/>
      <c r="L323" s="38"/>
      <c r="M323" s="8"/>
      <c r="N323" s="37"/>
      <c r="O323" s="8"/>
      <c r="P323" s="8"/>
      <c r="Q323" s="8"/>
      <c r="R323" s="8"/>
      <c r="S323" s="68"/>
      <c r="T323" s="34">
        <f>IF(C323="","",ROUND(CHOOSE(MATCH(C323,{5,6,7,8,10,12,14,16,18,20,22,25,28,32,40},0),0.154,0.222,0.302,0.395,0.617,0.888,1.209,1.579,1.998,2.467,2.985,3.855,4.836,6.316,9.868)*D323*E323*G323/1000,3))</f>
        <v>58.616</v>
      </c>
    </row>
    <row r="324" spans="1:20" ht="26.25" customHeight="1" x14ac:dyDescent="0.2">
      <c r="A324" s="6">
        <v>20111</v>
      </c>
      <c r="B324" s="6" t="s">
        <v>82</v>
      </c>
      <c r="C324" s="7">
        <v>20</v>
      </c>
      <c r="D324" s="8">
        <v>1</v>
      </c>
      <c r="E324" s="8">
        <v>3</v>
      </c>
      <c r="F324" s="9">
        <f t="shared" si="79"/>
        <v>3</v>
      </c>
      <c r="G324" s="10">
        <f>IF(H324=111,IF(ISERROR(0/C324/D324/E324/I324/J324),"VOID",ROUND(I324+J324-IF(C324&lt;20,1.25*C324,1.75*C324),-1)),"FALSE")</f>
        <v>10270</v>
      </c>
      <c r="H324" s="11">
        <v>111</v>
      </c>
      <c r="I324" s="36">
        <v>150</v>
      </c>
      <c r="J324" s="36">
        <v>10150</v>
      </c>
      <c r="K324" s="36"/>
      <c r="L324" s="38"/>
      <c r="M324" s="8"/>
      <c r="N324" s="37"/>
      <c r="O324" s="8"/>
      <c r="P324" s="8"/>
      <c r="Q324" s="8"/>
      <c r="R324" s="8"/>
      <c r="S324" s="68"/>
      <c r="T324" s="34">
        <f>IF(C324="","",ROUND(CHOOSE(MATCH(C324,{5,6,7,8,10,12,14,16,18,20,22,25,28,32,40},0),0.154,0.222,0.302,0.395,0.617,0.888,1.209,1.579,1.998,2.467,2.985,3.855,4.836,6.316,9.868)*D324*E324*G324/1000,3))</f>
        <v>76.007999999999996</v>
      </c>
    </row>
    <row r="325" spans="1:20" ht="26.25" customHeight="1" x14ac:dyDescent="0.2">
      <c r="A325" s="6">
        <v>20112</v>
      </c>
      <c r="B325" s="6" t="s">
        <v>82</v>
      </c>
      <c r="C325" s="7">
        <v>20</v>
      </c>
      <c r="D325" s="8">
        <v>1</v>
      </c>
      <c r="E325" s="8">
        <v>3</v>
      </c>
      <c r="F325" s="9">
        <f t="shared" si="79"/>
        <v>3</v>
      </c>
      <c r="G325" s="10">
        <f>IF(H325=310,IF(ISERROR(0/C325/D325/E325/I325/J325/K325/M325),"VOID",ROUND(I325+J325+K325+M325-IF(C325&lt;20,1.25*C325,1.75*C325),-1)),"FALSE")</f>
        <v>4740</v>
      </c>
      <c r="H325" s="11">
        <v>310</v>
      </c>
      <c r="I325" s="36">
        <v>500</v>
      </c>
      <c r="J325" s="36">
        <v>300</v>
      </c>
      <c r="K325" s="36">
        <v>3825</v>
      </c>
      <c r="L325" s="38">
        <v>50</v>
      </c>
      <c r="M325" s="8">
        <v>150</v>
      </c>
      <c r="N325" s="37"/>
      <c r="O325" s="8"/>
      <c r="P325" s="8"/>
      <c r="Q325" s="8"/>
      <c r="R325" s="8"/>
      <c r="S325" s="33"/>
      <c r="T325" s="34">
        <f>IF(C325="","",ROUND(CHOOSE(MATCH(C325,{5,6,7,8,10,12,14,16,18,20,22,25,28,32,40},0),0.154,0.222,0.302,0.395,0.617,0.888,1.209,1.579,1.998,2.467,2.985,3.855,4.836,6.316,9.868)*D325*E325*G325/1000,3))</f>
        <v>35.081000000000003</v>
      </c>
    </row>
    <row r="326" spans="1:20" ht="26.25" customHeight="1" x14ac:dyDescent="0.2">
      <c r="A326" s="6">
        <v>20114</v>
      </c>
      <c r="B326" s="6" t="s">
        <v>82</v>
      </c>
      <c r="C326" s="7">
        <v>20</v>
      </c>
      <c r="D326" s="8">
        <v>1</v>
      </c>
      <c r="E326" s="8">
        <v>3</v>
      </c>
      <c r="F326" s="9">
        <f t="shared" si="79"/>
        <v>3</v>
      </c>
      <c r="G326" s="10">
        <f>IF(H326=100,IF(ISERROR(0/C326/D326/E326/I326),"VOID",ROUND(I326,-1)),"FALSE")</f>
        <v>3500</v>
      </c>
      <c r="H326" s="11">
        <v>100</v>
      </c>
      <c r="I326" s="36">
        <v>3500</v>
      </c>
      <c r="J326" s="55"/>
      <c r="K326" s="55"/>
      <c r="L326" s="57"/>
      <c r="M326" s="50"/>
      <c r="N326" s="37"/>
      <c r="O326" s="8"/>
      <c r="P326" s="8"/>
      <c r="Q326" s="8"/>
      <c r="R326" s="8"/>
      <c r="S326" s="68"/>
      <c r="T326" s="34">
        <f>IF(C326="","",ROUND(CHOOSE(MATCH(C326,{5,6,7,8,10,12,14,16,18,20,22,25,28,32,40},0),0.154,0.222,0.302,0.395,0.617,0.888,1.209,1.579,1.998,2.467,2.985,3.855,4.836,6.316,9.868)*D326*E326*G326/1000,3))</f>
        <v>25.904</v>
      </c>
    </row>
    <row r="327" spans="1:20" ht="26.25" customHeight="1" x14ac:dyDescent="0.2">
      <c r="A327" s="6">
        <v>20115</v>
      </c>
      <c r="B327" s="6" t="s">
        <v>82</v>
      </c>
      <c r="C327" s="7">
        <v>20</v>
      </c>
      <c r="D327" s="8">
        <v>1</v>
      </c>
      <c r="E327" s="8">
        <v>2</v>
      </c>
      <c r="F327" s="9">
        <f t="shared" ref="F327:F333" si="80">D327*E327</f>
        <v>2</v>
      </c>
      <c r="G327" s="10">
        <f>IF(H327=100,IF(ISERROR(0/C327/D327/E327/I327),"VOID",ROUND(I327,-1)),"FALSE")</f>
        <v>10150</v>
      </c>
      <c r="H327" s="11">
        <v>100</v>
      </c>
      <c r="I327" s="36">
        <v>10150</v>
      </c>
      <c r="J327" s="36"/>
      <c r="K327" s="36"/>
      <c r="L327" s="38"/>
      <c r="M327" s="8"/>
      <c r="N327" s="37"/>
      <c r="O327" s="8"/>
      <c r="P327" s="8"/>
      <c r="Q327" s="8"/>
      <c r="R327" s="8"/>
      <c r="S327" s="68"/>
      <c r="T327" s="34">
        <f>IF(C327="","",ROUND(CHOOSE(MATCH(C327,{5,6,7,8,10,12,14,16,18,20,22,25,28,32,40},0),0.154,0.222,0.302,0.395,0.617,0.888,1.209,1.579,1.998,2.467,2.985,3.855,4.836,6.316,9.868)*D327*E327*G327/1000,3))</f>
        <v>50.08</v>
      </c>
    </row>
    <row r="328" spans="1:20" ht="26.25" customHeight="1" x14ac:dyDescent="0.2">
      <c r="A328" s="6">
        <v>1006</v>
      </c>
      <c r="B328" s="6" t="s">
        <v>82</v>
      </c>
      <c r="C328" s="7">
        <v>10</v>
      </c>
      <c r="D328" s="8">
        <v>1</v>
      </c>
      <c r="E328" s="8">
        <v>72</v>
      </c>
      <c r="F328" s="9">
        <f t="shared" si="80"/>
        <v>72</v>
      </c>
      <c r="G328" s="10">
        <f>IF(H328=500,IF(ISERROR(0/C328/D328/E328/I328/J328/K328),"VOID",ROUND(2*(I328+J328+K328)-IF(C328&lt;20,6.25*C328,8.75*C328),-1)),"FALSE")</f>
        <v>1150</v>
      </c>
      <c r="H328" s="11">
        <v>500</v>
      </c>
      <c r="I328" s="36">
        <v>175</v>
      </c>
      <c r="J328" s="36">
        <v>300</v>
      </c>
      <c r="K328" s="36">
        <f>CEILING(MAX(C328*13,),5)</f>
        <v>130</v>
      </c>
      <c r="L328" s="38"/>
      <c r="M328" s="8"/>
      <c r="N328" s="37"/>
      <c r="O328" s="8"/>
      <c r="P328" s="8"/>
      <c r="Q328" s="8"/>
      <c r="R328" s="8"/>
      <c r="S328" s="68"/>
      <c r="T328" s="34">
        <f>IF(C328="","",ROUND(CHOOSE(MATCH(C328,{5,6,7,8,10,12,14,16,18,20,22,25,28,32,40},0),0.154,0.222,0.302,0.395,0.617,0.888,1.209,1.579,1.998,2.467,2.985,3.855,4.836,6.316,9.868)*D328*E328*G328/1000,3))</f>
        <v>51.088000000000001</v>
      </c>
    </row>
    <row r="329" spans="1:20" ht="26.25" customHeight="1" x14ac:dyDescent="0.2">
      <c r="A329" s="6">
        <v>16109</v>
      </c>
      <c r="B329" s="6" t="s">
        <v>83</v>
      </c>
      <c r="C329" s="7">
        <v>16</v>
      </c>
      <c r="D329" s="8">
        <v>1</v>
      </c>
      <c r="E329" s="8">
        <v>2</v>
      </c>
      <c r="F329" s="9">
        <f t="shared" ref="F329" si="81">D329*E329</f>
        <v>2</v>
      </c>
      <c r="G329" s="10">
        <f>IF(H329=483,IF(ISERROR(0/C329/D329/E329/I329/J329/K329/M329),"VOID",ROUND(I329+2*J329+K329+M329,-1)),"FALSE")</f>
        <v>5130</v>
      </c>
      <c r="H329" s="11">
        <v>483</v>
      </c>
      <c r="I329" s="36">
        <v>500</v>
      </c>
      <c r="J329" s="36">
        <v>300</v>
      </c>
      <c r="K329" s="36">
        <v>3525</v>
      </c>
      <c r="L329" s="38">
        <v>50</v>
      </c>
      <c r="M329" s="8">
        <v>500</v>
      </c>
      <c r="N329" s="37"/>
      <c r="O329" s="8"/>
      <c r="P329" s="8"/>
      <c r="Q329" s="8"/>
      <c r="R329" s="8"/>
      <c r="S329" s="33"/>
      <c r="T329" s="34">
        <f>IF(C329="","",ROUND(CHOOSE(MATCH(C329,{5,6,7,8,10,12,14,16,18,20,22,25,28,32,40},0),0.154,0.222,0.302,0.395,0.617,0.888,1.209,1.579,1.998,2.467,2.985,3.855,4.836,6.316,9.868)*D329*E329*G329/1000,3))</f>
        <v>16.201000000000001</v>
      </c>
    </row>
    <row r="330" spans="1:20" ht="54.75" customHeight="1" x14ac:dyDescent="0.2">
      <c r="A330" s="6">
        <v>16116</v>
      </c>
      <c r="B330" s="6" t="s">
        <v>83</v>
      </c>
      <c r="C330" s="7">
        <v>16</v>
      </c>
      <c r="D330" s="8">
        <v>1</v>
      </c>
      <c r="E330" s="8">
        <v>4</v>
      </c>
      <c r="F330" s="9">
        <f t="shared" si="80"/>
        <v>4</v>
      </c>
      <c r="G330" s="10">
        <f>IF(H330=111,IF(ISERROR(0/C330/D330/E330/I330/J330),"VOID",ROUND(I330+J330-IF(C330&lt;20,1.25*C330,1.75*C330),-1)),"FALSE")</f>
        <v>4760</v>
      </c>
      <c r="H330" s="11">
        <v>111</v>
      </c>
      <c r="I330" s="36">
        <v>150</v>
      </c>
      <c r="J330" s="36">
        <v>4625</v>
      </c>
      <c r="K330" s="36"/>
      <c r="L330" s="38"/>
      <c r="M330" s="8"/>
      <c r="N330" s="37"/>
      <c r="O330" s="8"/>
      <c r="P330" s="8"/>
      <c r="Q330" s="8"/>
      <c r="R330" s="8"/>
      <c r="S330" s="68"/>
      <c r="T330" s="34">
        <f>IF(C330="","",ROUND(CHOOSE(MATCH(C330,{5,6,7,8,10,12,14,16,18,20,22,25,28,32,40},0),0.154,0.222,0.302,0.395,0.617,0.888,1.209,1.579,1.998,2.467,2.985,3.855,4.836,6.316,9.868)*D330*E330*G330/1000,3))</f>
        <v>30.064</v>
      </c>
    </row>
    <row r="331" spans="1:20" ht="26.25" customHeight="1" x14ac:dyDescent="0.2">
      <c r="A331" s="6">
        <v>16117</v>
      </c>
      <c r="B331" s="6" t="s">
        <v>83</v>
      </c>
      <c r="C331" s="7">
        <v>16</v>
      </c>
      <c r="D331" s="8">
        <v>1</v>
      </c>
      <c r="E331" s="8">
        <v>2</v>
      </c>
      <c r="F331" s="9">
        <f t="shared" si="80"/>
        <v>2</v>
      </c>
      <c r="G331" s="10">
        <f>IF(H331=310,IF(ISERROR(0/C331/D331/E331/I331/J331/K331/M331),"VOID",ROUND(I331+J331+K331+M331-IF(C331&lt;20,1.25*C331,1.75*C331),-1)),"FALSE")</f>
        <v>3560</v>
      </c>
      <c r="H331" s="11">
        <v>310</v>
      </c>
      <c r="I331" s="36">
        <v>500</v>
      </c>
      <c r="J331" s="55">
        <v>300</v>
      </c>
      <c r="K331" s="55">
        <v>2625</v>
      </c>
      <c r="L331" s="57">
        <v>50</v>
      </c>
      <c r="M331" s="50">
        <v>150</v>
      </c>
      <c r="N331" s="37"/>
      <c r="O331" s="8"/>
      <c r="P331" s="8"/>
      <c r="Q331" s="8"/>
      <c r="R331" s="8"/>
      <c r="S331" s="33"/>
      <c r="T331" s="34">
        <f>IF(C331="","",ROUND(CHOOSE(MATCH(C331,{5,6,7,8,10,12,14,16,18,20,22,25,28,32,40},0),0.154,0.222,0.302,0.395,0.617,0.888,1.209,1.579,1.998,2.467,2.985,3.855,4.836,6.316,9.868)*D331*E331*G331/1000,3))</f>
        <v>11.242000000000001</v>
      </c>
    </row>
    <row r="332" spans="1:20" ht="54.75" customHeight="1" x14ac:dyDescent="0.2">
      <c r="A332" s="6">
        <v>16118</v>
      </c>
      <c r="B332" s="6" t="s">
        <v>83</v>
      </c>
      <c r="C332" s="7">
        <v>16</v>
      </c>
      <c r="D332" s="8">
        <v>1</v>
      </c>
      <c r="E332" s="8">
        <v>3</v>
      </c>
      <c r="F332" s="9">
        <f t="shared" si="80"/>
        <v>3</v>
      </c>
      <c r="G332" s="10">
        <f>IF(H332=100,IF(ISERROR(0/C332/D332/E332/I332),"VOID",ROUND(I332,-1)),"FALSE")</f>
        <v>7530</v>
      </c>
      <c r="H332" s="11">
        <v>100</v>
      </c>
      <c r="I332" s="36">
        <v>7525</v>
      </c>
      <c r="J332" s="36"/>
      <c r="K332" s="36"/>
      <c r="L332" s="38"/>
      <c r="M332" s="8"/>
      <c r="N332" s="37"/>
      <c r="O332" s="8"/>
      <c r="P332" s="8"/>
      <c r="Q332" s="8"/>
      <c r="R332" s="8"/>
      <c r="S332" s="68"/>
      <c r="T332" s="34">
        <f>IF(C332="","",ROUND(CHOOSE(MATCH(C332,{5,6,7,8,10,12,14,16,18,20,22,25,28,32,40},0),0.154,0.222,0.302,0.395,0.617,0.888,1.209,1.579,1.998,2.467,2.985,3.855,4.836,6.316,9.868)*D332*E332*G332/1000,3))</f>
        <v>35.67</v>
      </c>
    </row>
    <row r="333" spans="1:20" ht="26.25" customHeight="1" x14ac:dyDescent="0.2">
      <c r="A333" s="6">
        <v>16119</v>
      </c>
      <c r="B333" s="6" t="s">
        <v>83</v>
      </c>
      <c r="C333" s="7">
        <v>16</v>
      </c>
      <c r="D333" s="8">
        <v>1</v>
      </c>
      <c r="E333" s="8">
        <v>2</v>
      </c>
      <c r="F333" s="9">
        <f t="shared" si="80"/>
        <v>2</v>
      </c>
      <c r="G333" s="10">
        <f>IF(H333=310,IF(ISERROR(0/C333/D333/E333/I333/J333/K333/M333),"VOID",ROUND(I333+J333+K333+M333-IF(C333&lt;20,1.25*C333,1.75*C333),-1)),"FALSE")</f>
        <v>4760</v>
      </c>
      <c r="H333" s="11">
        <v>310</v>
      </c>
      <c r="I333" s="36">
        <v>500</v>
      </c>
      <c r="J333" s="36">
        <v>300</v>
      </c>
      <c r="K333" s="36">
        <v>3825</v>
      </c>
      <c r="L333" s="38">
        <v>50</v>
      </c>
      <c r="M333" s="8">
        <v>150</v>
      </c>
      <c r="N333" s="37"/>
      <c r="O333" s="8"/>
      <c r="P333" s="8"/>
      <c r="Q333" s="8"/>
      <c r="R333" s="8"/>
      <c r="S333" s="33"/>
      <c r="T333" s="34">
        <f>IF(C333="","",ROUND(CHOOSE(MATCH(C333,{5,6,7,8,10,12,14,16,18,20,22,25,28,32,40},0),0.154,0.222,0.302,0.395,0.617,0.888,1.209,1.579,1.998,2.467,2.985,3.855,4.836,6.316,9.868)*D333*E333*G333/1000,3))</f>
        <v>15.032</v>
      </c>
    </row>
    <row r="334" spans="1:20" ht="26.25" customHeight="1" x14ac:dyDescent="0.2">
      <c r="A334" s="6">
        <v>16124</v>
      </c>
      <c r="B334" s="6" t="s">
        <v>83</v>
      </c>
      <c r="C334" s="7">
        <v>16</v>
      </c>
      <c r="D334" s="8">
        <v>1</v>
      </c>
      <c r="E334" s="8">
        <v>4</v>
      </c>
      <c r="F334" s="9">
        <f t="shared" ref="F334:F346" si="82">D334*E334</f>
        <v>4</v>
      </c>
      <c r="G334" s="10">
        <f>IF(H334=111,IF(ISERROR(0/C334/D334/E334/I334/J334),"VOID",ROUND(I334+J334-IF(C334&lt;20,1.25*C334,1.75*C334),-1)),"FALSE")</f>
        <v>5960</v>
      </c>
      <c r="H334" s="11">
        <v>111</v>
      </c>
      <c r="I334" s="36">
        <v>150</v>
      </c>
      <c r="J334" s="36">
        <v>5825</v>
      </c>
      <c r="K334" s="36"/>
      <c r="L334" s="38"/>
      <c r="M334" s="8"/>
      <c r="N334" s="37"/>
      <c r="O334" s="8"/>
      <c r="P334" s="8"/>
      <c r="Q334" s="8"/>
      <c r="R334" s="8"/>
      <c r="S334" s="68"/>
      <c r="T334" s="34">
        <f>IF(C334="","",ROUND(CHOOSE(MATCH(C334,{5,6,7,8,10,12,14,16,18,20,22,25,28,32,40},0),0.154,0.222,0.302,0.395,0.617,0.888,1.209,1.579,1.998,2.467,2.985,3.855,4.836,6.316,9.868)*D334*E334*G334/1000,3))</f>
        <v>37.643000000000001</v>
      </c>
    </row>
    <row r="335" spans="1:20" ht="26.25" customHeight="1" x14ac:dyDescent="0.2">
      <c r="A335" s="6">
        <v>1006</v>
      </c>
      <c r="B335" s="6" t="s">
        <v>83</v>
      </c>
      <c r="C335" s="7">
        <v>10</v>
      </c>
      <c r="D335" s="8">
        <v>1</v>
      </c>
      <c r="E335" s="8">
        <v>57</v>
      </c>
      <c r="F335" s="9">
        <f t="shared" ref="F335" si="83">D335*E335</f>
        <v>57</v>
      </c>
      <c r="G335" s="10">
        <f>IF(H335=500,IF(ISERROR(0/C335/D335/E335/I335/J335/K335),"VOID",ROUND(2*(I335+J335+K335)-IF(C335&lt;20,6.25*C335,8.75*C335),-1)),"FALSE")</f>
        <v>1150</v>
      </c>
      <c r="H335" s="11">
        <v>500</v>
      </c>
      <c r="I335" s="36">
        <v>175</v>
      </c>
      <c r="J335" s="36">
        <v>300</v>
      </c>
      <c r="K335" s="36">
        <f>CEILING(MAX(C335*13,),5)</f>
        <v>130</v>
      </c>
      <c r="L335" s="38"/>
      <c r="M335" s="8"/>
      <c r="N335" s="37"/>
      <c r="O335" s="8"/>
      <c r="P335" s="8"/>
      <c r="Q335" s="8"/>
      <c r="R335" s="8"/>
      <c r="S335" s="69"/>
      <c r="T335" s="34">
        <f>IF(C335="","",ROUND(CHOOSE(MATCH(C335,{5,6,7,8,10,12,14,16,18,20,22,25,28,32,40},0),0.154,0.222,0.302,0.395,0.617,0.888,1.209,1.579,1.998,2.467,2.985,3.855,4.836,6.316,9.868)*D335*E335*G335/1000,3))</f>
        <v>40.444000000000003</v>
      </c>
    </row>
    <row r="336" spans="1:20" ht="26.25" customHeight="1" x14ac:dyDescent="0.2">
      <c r="A336" s="6">
        <v>16120</v>
      </c>
      <c r="B336" s="6" t="s">
        <v>84</v>
      </c>
      <c r="C336" s="7">
        <v>16</v>
      </c>
      <c r="D336" s="8">
        <v>1</v>
      </c>
      <c r="E336" s="8">
        <v>2</v>
      </c>
      <c r="F336" s="9">
        <f t="shared" si="82"/>
        <v>2</v>
      </c>
      <c r="G336" s="10">
        <f>IF(H336=310,IF(ISERROR(0/C336/D336/E336/I336/J336/K336/M336),"VOID",ROUND(I336+J336+K336+M336-IF(C336&lt;20,1.25*C336,1.75*C336),-1)),"FALSE")</f>
        <v>6610</v>
      </c>
      <c r="H336" s="11">
        <v>310</v>
      </c>
      <c r="I336" s="36">
        <v>500</v>
      </c>
      <c r="J336" s="36">
        <v>300</v>
      </c>
      <c r="K336" s="36">
        <v>5675</v>
      </c>
      <c r="L336" s="38">
        <v>50</v>
      </c>
      <c r="M336" s="8">
        <v>150</v>
      </c>
      <c r="N336" s="37"/>
      <c r="O336" s="8"/>
      <c r="P336" s="8"/>
      <c r="Q336" s="8"/>
      <c r="R336" s="8"/>
      <c r="S336" s="33"/>
      <c r="T336" s="34">
        <f>IF(C336="","",ROUND(CHOOSE(MATCH(C336,{5,6,7,8,10,12,14,16,18,20,22,25,28,32,40},0),0.154,0.222,0.302,0.395,0.617,0.888,1.209,1.579,1.998,2.467,2.985,3.855,4.836,6.316,9.868)*D336*E336*G336/1000,3))</f>
        <v>20.873999999999999</v>
      </c>
    </row>
    <row r="337" spans="1:20" ht="26.25" customHeight="1" x14ac:dyDescent="0.2">
      <c r="A337" s="6">
        <v>16121</v>
      </c>
      <c r="B337" s="6" t="s">
        <v>84</v>
      </c>
      <c r="C337" s="7">
        <v>16</v>
      </c>
      <c r="D337" s="8">
        <v>1</v>
      </c>
      <c r="E337" s="8">
        <v>2</v>
      </c>
      <c r="F337" s="9">
        <f t="shared" si="82"/>
        <v>2</v>
      </c>
      <c r="G337" s="10">
        <f>IF(H337=310,IF(ISERROR(0/C337/D337/E337/I337/J337/K337/M337),"VOID",ROUND(I337+J337+K337+M337-IF(C337&lt;20,1.25*C337,1.75*C337),-1)),"FALSE")</f>
        <v>11060</v>
      </c>
      <c r="H337" s="11">
        <v>310</v>
      </c>
      <c r="I337" s="36">
        <v>500</v>
      </c>
      <c r="J337" s="36">
        <v>300</v>
      </c>
      <c r="K337" s="55">
        <v>10125</v>
      </c>
      <c r="L337" s="57">
        <v>50</v>
      </c>
      <c r="M337" s="8">
        <v>150</v>
      </c>
      <c r="N337" s="37"/>
      <c r="O337" s="8"/>
      <c r="P337" s="8"/>
      <c r="Q337" s="8"/>
      <c r="R337" s="8"/>
      <c r="S337" s="33"/>
      <c r="T337" s="34">
        <f>IF(C337="","",ROUND(CHOOSE(MATCH(C337,{5,6,7,8,10,12,14,16,18,20,22,25,28,32,40},0),0.154,0.222,0.302,0.395,0.617,0.888,1.209,1.579,1.998,2.467,2.985,3.855,4.836,6.316,9.868)*D337*E337*G337/1000,3))</f>
        <v>34.927</v>
      </c>
    </row>
    <row r="338" spans="1:20" ht="26.25" customHeight="1" x14ac:dyDescent="0.2">
      <c r="A338" s="6">
        <v>16122</v>
      </c>
      <c r="B338" s="6" t="s">
        <v>84</v>
      </c>
      <c r="C338" s="7">
        <v>16</v>
      </c>
      <c r="D338" s="8">
        <v>1</v>
      </c>
      <c r="E338" s="8">
        <v>2</v>
      </c>
      <c r="F338" s="9">
        <f t="shared" si="82"/>
        <v>2</v>
      </c>
      <c r="G338" s="10">
        <f>IF(H338=111,IF(ISERROR(0/C338/D338/E338/I338/J338),"VOID",ROUND(I338+J338-IF(C338&lt;20,1.25*C338,1.75*C338),-1)),"FALSE")</f>
        <v>7730</v>
      </c>
      <c r="H338" s="11">
        <v>111</v>
      </c>
      <c r="I338" s="36">
        <v>150</v>
      </c>
      <c r="J338" s="36">
        <v>7600</v>
      </c>
      <c r="K338" s="55"/>
      <c r="L338" s="52"/>
      <c r="M338" s="66"/>
      <c r="N338" s="37"/>
      <c r="O338" s="8"/>
      <c r="P338" s="8"/>
      <c r="Q338" s="8"/>
      <c r="R338" s="8"/>
      <c r="S338" s="69"/>
      <c r="T338" s="34">
        <f>IF(C338="","",ROUND(CHOOSE(MATCH(C338,{5,6,7,8,10,12,14,16,18,20,22,25,28,32,40},0),0.154,0.222,0.302,0.395,0.617,0.888,1.209,1.579,1.998,2.467,2.985,3.855,4.836,6.316,9.868)*D338*E338*G338/1000,3))</f>
        <v>24.411000000000001</v>
      </c>
    </row>
    <row r="339" spans="1:20" ht="26.25" customHeight="1" x14ac:dyDescent="0.2">
      <c r="A339" s="6">
        <v>16125</v>
      </c>
      <c r="B339" s="6" t="s">
        <v>84</v>
      </c>
      <c r="C339" s="7">
        <v>16</v>
      </c>
      <c r="D339" s="8">
        <v>1</v>
      </c>
      <c r="E339" s="8">
        <v>2</v>
      </c>
      <c r="F339" s="9">
        <f t="shared" si="82"/>
        <v>2</v>
      </c>
      <c r="G339" s="10">
        <f>IF(H339=111,IF(ISERROR(0/C339/D339/E339/I339/J339),"VOID",ROUND(I339+J339-IF(C339&lt;20,1.25*C339,1.75*C339),-1)),"FALSE")</f>
        <v>12180</v>
      </c>
      <c r="H339" s="11">
        <v>111</v>
      </c>
      <c r="I339" s="36">
        <v>150</v>
      </c>
      <c r="J339" s="36">
        <v>12050</v>
      </c>
      <c r="K339" s="36"/>
      <c r="L339" s="38"/>
      <c r="M339" s="8"/>
      <c r="N339" s="37"/>
      <c r="O339" s="8"/>
      <c r="P339" s="8"/>
      <c r="Q339" s="8"/>
      <c r="R339" s="8"/>
      <c r="S339" s="69"/>
      <c r="T339" s="34">
        <f>IF(C339="","",ROUND(CHOOSE(MATCH(C339,{5,6,7,8,10,12,14,16,18,20,22,25,28,32,40},0),0.154,0.222,0.302,0.395,0.617,0.888,1.209,1.579,1.998,2.467,2.985,3.855,4.836,6.316,9.868)*D339*E339*G339/1000,3))</f>
        <v>38.463999999999999</v>
      </c>
    </row>
    <row r="340" spans="1:20" ht="54.75" customHeight="1" x14ac:dyDescent="0.2">
      <c r="A340" s="6">
        <v>1006</v>
      </c>
      <c r="B340" s="6" t="s">
        <v>84</v>
      </c>
      <c r="C340" s="7">
        <v>10</v>
      </c>
      <c r="D340" s="8">
        <v>1</v>
      </c>
      <c r="E340" s="8">
        <v>72</v>
      </c>
      <c r="F340" s="9">
        <f t="shared" si="82"/>
        <v>72</v>
      </c>
      <c r="G340" s="10">
        <f>IF(H340=500,IF(ISERROR(0/C340/D340/E340/I340/J340/K340),"VOID",ROUND(2*(I340+J340+K340)-IF(C340&lt;20,6.25*C340,8.75*C340),-1)),"FALSE")</f>
        <v>1150</v>
      </c>
      <c r="H340" s="11">
        <v>500</v>
      </c>
      <c r="I340" s="36">
        <v>175</v>
      </c>
      <c r="J340" s="36">
        <v>300</v>
      </c>
      <c r="K340" s="36">
        <f>CEILING(MAX(C340*13,),5)</f>
        <v>130</v>
      </c>
      <c r="L340" s="38"/>
      <c r="M340" s="8"/>
      <c r="N340" s="37"/>
      <c r="O340" s="8"/>
      <c r="P340" s="8"/>
      <c r="Q340" s="8"/>
      <c r="R340" s="8"/>
      <c r="S340" s="69"/>
      <c r="T340" s="34">
        <f>IF(C340="","",ROUND(CHOOSE(MATCH(C340,{5,6,7,8,10,12,14,16,18,20,22,25,28,32,40},0),0.154,0.222,0.302,0.395,0.617,0.888,1.209,1.579,1.998,2.467,2.985,3.855,4.836,6.316,9.868)*D340*E340*G340/1000,3))</f>
        <v>51.088000000000001</v>
      </c>
    </row>
    <row r="341" spans="1:20" ht="26.25" customHeight="1" x14ac:dyDescent="0.2">
      <c r="A341" s="6">
        <v>16120</v>
      </c>
      <c r="B341" s="6" t="s">
        <v>85</v>
      </c>
      <c r="C341" s="7">
        <v>16</v>
      </c>
      <c r="D341" s="8">
        <v>1</v>
      </c>
      <c r="E341" s="8">
        <v>2</v>
      </c>
      <c r="F341" s="9">
        <f t="shared" ref="F341:F345" si="84">D341*E341</f>
        <v>2</v>
      </c>
      <c r="G341" s="10">
        <f>IF(H341=310,IF(ISERROR(0/C341/D341/E341/I341/J341/K341/M341),"VOID",ROUND(I341+J341+K341+M341-IF(C341&lt;20,1.25*C341,1.75*C341),-1)),"FALSE")</f>
        <v>6610</v>
      </c>
      <c r="H341" s="11">
        <v>310</v>
      </c>
      <c r="I341" s="36">
        <v>500</v>
      </c>
      <c r="J341" s="36">
        <v>300</v>
      </c>
      <c r="K341" s="36">
        <v>5675</v>
      </c>
      <c r="L341" s="38">
        <v>50</v>
      </c>
      <c r="M341" s="8">
        <v>150</v>
      </c>
      <c r="N341" s="37"/>
      <c r="O341" s="8"/>
      <c r="P341" s="8"/>
      <c r="Q341" s="8"/>
      <c r="R341" s="8"/>
      <c r="S341" s="33"/>
      <c r="T341" s="34">
        <f>IF(C341="","",ROUND(CHOOSE(MATCH(C341,{5,6,7,8,10,12,14,16,18,20,22,25,28,32,40},0),0.154,0.222,0.302,0.395,0.617,0.888,1.209,1.579,1.998,2.467,2.985,3.855,4.836,6.316,9.868)*D341*E341*G341/1000,3))</f>
        <v>20.873999999999999</v>
      </c>
    </row>
    <row r="342" spans="1:20" ht="26.25" customHeight="1" x14ac:dyDescent="0.2">
      <c r="A342" s="6">
        <v>16121</v>
      </c>
      <c r="B342" s="6" t="s">
        <v>85</v>
      </c>
      <c r="C342" s="7">
        <v>16</v>
      </c>
      <c r="D342" s="8">
        <v>1</v>
      </c>
      <c r="E342" s="8">
        <v>2</v>
      </c>
      <c r="F342" s="9">
        <f t="shared" si="84"/>
        <v>2</v>
      </c>
      <c r="G342" s="10">
        <f>IF(H342=310,IF(ISERROR(0/C342/D342/E342/I342/J342/K342/M342),"VOID",ROUND(I342+J342+K342+M342-IF(C342&lt;20,1.25*C342,1.75*C342),-1)),"FALSE")</f>
        <v>11060</v>
      </c>
      <c r="H342" s="11">
        <v>310</v>
      </c>
      <c r="I342" s="36">
        <v>500</v>
      </c>
      <c r="J342" s="36">
        <v>300</v>
      </c>
      <c r="K342" s="55">
        <v>10125</v>
      </c>
      <c r="L342" s="57">
        <v>50</v>
      </c>
      <c r="M342" s="8">
        <v>150</v>
      </c>
      <c r="N342" s="37"/>
      <c r="O342" s="8"/>
      <c r="P342" s="8"/>
      <c r="Q342" s="8"/>
      <c r="R342" s="8"/>
      <c r="S342" s="33"/>
      <c r="T342" s="34">
        <f>IF(C342="","",ROUND(CHOOSE(MATCH(C342,{5,6,7,8,10,12,14,16,18,20,22,25,28,32,40},0),0.154,0.222,0.302,0.395,0.617,0.888,1.209,1.579,1.998,2.467,2.985,3.855,4.836,6.316,9.868)*D342*E342*G342/1000,3))</f>
        <v>34.927</v>
      </c>
    </row>
    <row r="343" spans="1:20" ht="26.25" customHeight="1" x14ac:dyDescent="0.2">
      <c r="A343" s="6">
        <v>16122</v>
      </c>
      <c r="B343" s="6" t="s">
        <v>85</v>
      </c>
      <c r="C343" s="7">
        <v>16</v>
      </c>
      <c r="D343" s="8">
        <v>1</v>
      </c>
      <c r="E343" s="8">
        <v>2</v>
      </c>
      <c r="F343" s="9">
        <f t="shared" si="84"/>
        <v>2</v>
      </c>
      <c r="G343" s="10">
        <f>IF(H343=111,IF(ISERROR(0/C343/D343/E343/I343/J343),"VOID",ROUND(I343+J343-IF(C343&lt;20,1.25*C343,1.75*C343),-1)),"FALSE")</f>
        <v>7730</v>
      </c>
      <c r="H343" s="11">
        <v>111</v>
      </c>
      <c r="I343" s="36">
        <v>150</v>
      </c>
      <c r="J343" s="36">
        <v>7600</v>
      </c>
      <c r="K343" s="55"/>
      <c r="L343" s="52"/>
      <c r="M343" s="66"/>
      <c r="N343" s="37"/>
      <c r="O343" s="8"/>
      <c r="P343" s="8"/>
      <c r="Q343" s="8"/>
      <c r="R343" s="8"/>
      <c r="S343" s="69"/>
      <c r="T343" s="34">
        <f>IF(C343="","",ROUND(CHOOSE(MATCH(C343,{5,6,7,8,10,12,14,16,18,20,22,25,28,32,40},0),0.154,0.222,0.302,0.395,0.617,0.888,1.209,1.579,1.998,2.467,2.985,3.855,4.836,6.316,9.868)*D343*E343*G343/1000,3))</f>
        <v>24.411000000000001</v>
      </c>
    </row>
    <row r="344" spans="1:20" ht="26.25" customHeight="1" x14ac:dyDescent="0.2">
      <c r="A344" s="6">
        <v>16125</v>
      </c>
      <c r="B344" s="6" t="s">
        <v>85</v>
      </c>
      <c r="C344" s="7">
        <v>16</v>
      </c>
      <c r="D344" s="8">
        <v>1</v>
      </c>
      <c r="E344" s="8">
        <v>2</v>
      </c>
      <c r="F344" s="9">
        <f t="shared" si="84"/>
        <v>2</v>
      </c>
      <c r="G344" s="10">
        <f>IF(H344=111,IF(ISERROR(0/C344/D344/E344/I344/J344),"VOID",ROUND(I344+J344-IF(C344&lt;20,1.25*C344,1.75*C344),-1)),"FALSE")</f>
        <v>12180</v>
      </c>
      <c r="H344" s="11">
        <v>111</v>
      </c>
      <c r="I344" s="36">
        <v>150</v>
      </c>
      <c r="J344" s="36">
        <v>12050</v>
      </c>
      <c r="K344" s="36"/>
      <c r="L344" s="38"/>
      <c r="M344" s="8"/>
      <c r="N344" s="37"/>
      <c r="O344" s="8"/>
      <c r="P344" s="8"/>
      <c r="Q344" s="8"/>
      <c r="R344" s="8"/>
      <c r="S344" s="69"/>
      <c r="T344" s="34">
        <f>IF(C344="","",ROUND(CHOOSE(MATCH(C344,{5,6,7,8,10,12,14,16,18,20,22,25,28,32,40},0),0.154,0.222,0.302,0.395,0.617,0.888,1.209,1.579,1.998,2.467,2.985,3.855,4.836,6.316,9.868)*D344*E344*G344/1000,3))</f>
        <v>38.463999999999999</v>
      </c>
    </row>
    <row r="345" spans="1:20" ht="26.25" customHeight="1" x14ac:dyDescent="0.2">
      <c r="A345" s="6">
        <v>1006</v>
      </c>
      <c r="B345" s="6" t="s">
        <v>85</v>
      </c>
      <c r="C345" s="7">
        <v>10</v>
      </c>
      <c r="D345" s="8">
        <v>1</v>
      </c>
      <c r="E345" s="8">
        <v>72</v>
      </c>
      <c r="F345" s="9">
        <f t="shared" si="84"/>
        <v>72</v>
      </c>
      <c r="G345" s="10">
        <f>IF(H345=500,IF(ISERROR(0/C345/D345/E345/I345/J345/K345),"VOID",ROUND(2*(I345+J345+K345)-IF(C345&lt;20,6.25*C345,8.75*C345),-1)),"FALSE")</f>
        <v>1150</v>
      </c>
      <c r="H345" s="11">
        <v>500</v>
      </c>
      <c r="I345" s="36">
        <v>175</v>
      </c>
      <c r="J345" s="36">
        <v>300</v>
      </c>
      <c r="K345" s="36">
        <f>CEILING(MAX(C345*13,),5)</f>
        <v>130</v>
      </c>
      <c r="L345" s="38"/>
      <c r="M345" s="8"/>
      <c r="N345" s="37"/>
      <c r="O345" s="8"/>
      <c r="P345" s="8"/>
      <c r="Q345" s="8"/>
      <c r="R345" s="8"/>
      <c r="S345" s="69"/>
      <c r="T345" s="34">
        <f>IF(C345="","",ROUND(CHOOSE(MATCH(C345,{5,6,7,8,10,12,14,16,18,20,22,25,28,32,40},0),0.154,0.222,0.302,0.395,0.617,0.888,1.209,1.579,1.998,2.467,2.985,3.855,4.836,6.316,9.868)*D345*E345*G345/1000,3))</f>
        <v>51.088000000000001</v>
      </c>
    </row>
    <row r="346" spans="1:20" ht="26.25" customHeight="1" x14ac:dyDescent="0.2">
      <c r="A346" s="6">
        <v>16200</v>
      </c>
      <c r="B346" s="6" t="s">
        <v>86</v>
      </c>
      <c r="C346" s="7">
        <v>16</v>
      </c>
      <c r="D346" s="8">
        <v>1</v>
      </c>
      <c r="E346" s="8">
        <v>4</v>
      </c>
      <c r="F346" s="9">
        <f t="shared" si="82"/>
        <v>4</v>
      </c>
      <c r="G346" s="10">
        <f>IF(H346=111,IF(ISERROR(0/C346/D346/E346/I346/J346),"VOID",ROUND(I346+J346-IF(C346&lt;20,1.25*C346,1.75*C346),-1)),"FALSE")</f>
        <v>4170</v>
      </c>
      <c r="H346" s="11">
        <v>111</v>
      </c>
      <c r="I346" s="36">
        <v>150</v>
      </c>
      <c r="J346" s="36">
        <v>4038</v>
      </c>
      <c r="K346" s="55"/>
      <c r="L346" s="38"/>
      <c r="M346" s="8"/>
      <c r="N346" s="37"/>
      <c r="O346" s="8"/>
      <c r="P346" s="8"/>
      <c r="Q346" s="8"/>
      <c r="R346" s="8"/>
      <c r="S346" s="69"/>
      <c r="T346" s="34">
        <f>IF(C346="","",ROUND(CHOOSE(MATCH(C346,{5,6,7,8,10,12,14,16,18,20,22,25,28,32,40},0),0.154,0.222,0.302,0.395,0.617,0.888,1.209,1.579,1.998,2.467,2.985,3.855,4.836,6.316,9.868)*D346*E346*G346/1000,3))</f>
        <v>26.338000000000001</v>
      </c>
    </row>
    <row r="347" spans="1:20" ht="26.25" customHeight="1" x14ac:dyDescent="0.2">
      <c r="A347" s="6">
        <v>16201</v>
      </c>
      <c r="B347" s="6" t="s">
        <v>86</v>
      </c>
      <c r="C347" s="7">
        <v>16</v>
      </c>
      <c r="D347" s="8">
        <v>1</v>
      </c>
      <c r="E347" s="8">
        <v>2</v>
      </c>
      <c r="F347" s="9">
        <f t="shared" ref="F347:F352" si="85">D347*E347</f>
        <v>2</v>
      </c>
      <c r="G347" s="10">
        <f>IF(H347=483,IF(ISERROR(0/C347/D347/E347/I347/J347/K347/M347),"VOID",ROUND(I347+2*J347+K347+M347,-1)),"FALSE")</f>
        <v>3000</v>
      </c>
      <c r="H347" s="11">
        <v>483</v>
      </c>
      <c r="I347" s="36">
        <v>500</v>
      </c>
      <c r="J347" s="55">
        <v>300</v>
      </c>
      <c r="K347" s="50">
        <v>1400</v>
      </c>
      <c r="L347" s="71">
        <v>50</v>
      </c>
      <c r="M347" s="50">
        <v>500</v>
      </c>
      <c r="N347" s="37"/>
      <c r="O347" s="8"/>
      <c r="P347" s="8"/>
      <c r="Q347" s="8"/>
      <c r="R347" s="8"/>
      <c r="S347" s="33"/>
      <c r="T347" s="34">
        <f>IF(C347="","",ROUND(CHOOSE(MATCH(C347,{5,6,7,8,10,12,14,16,18,20,22,25,28,32,40},0),0.154,0.222,0.302,0.395,0.617,0.888,1.209,1.579,1.998,2.467,2.985,3.855,4.836,6.316,9.868)*D347*E347*G347/1000,3))</f>
        <v>9.4740000000000002</v>
      </c>
    </row>
    <row r="348" spans="1:20" ht="26.25" customHeight="1" x14ac:dyDescent="0.2">
      <c r="A348" s="6">
        <v>16202</v>
      </c>
      <c r="B348" s="6" t="s">
        <v>86</v>
      </c>
      <c r="C348" s="7">
        <v>16</v>
      </c>
      <c r="D348" s="8">
        <v>1</v>
      </c>
      <c r="E348" s="8">
        <v>4</v>
      </c>
      <c r="F348" s="9">
        <f t="shared" si="85"/>
        <v>4</v>
      </c>
      <c r="G348" s="10">
        <f>IF(H348=100,IF(ISERROR(0/C348/D348/E348/I348),"VOID",ROUND(I348,-1)),"FALSE")</f>
        <v>2300</v>
      </c>
      <c r="H348" s="11">
        <v>100</v>
      </c>
      <c r="I348" s="36">
        <v>2300</v>
      </c>
      <c r="J348" s="36"/>
      <c r="K348" s="36"/>
      <c r="L348" s="38"/>
      <c r="M348" s="8"/>
      <c r="N348" s="37"/>
      <c r="O348" s="8"/>
      <c r="P348" s="8"/>
      <c r="Q348" s="8"/>
      <c r="R348" s="8"/>
      <c r="S348" s="69"/>
      <c r="T348" s="34">
        <f>IF(C348="","",ROUND(CHOOSE(MATCH(C348,{5,6,7,8,10,12,14,16,18,20,22,25,28,32,40},0),0.154,0.222,0.302,0.395,0.617,0.888,1.209,1.579,1.998,2.467,2.985,3.855,4.836,6.316,9.868)*D348*E348*G348/1000,3))</f>
        <v>14.526999999999999</v>
      </c>
    </row>
    <row r="349" spans="1:20" ht="26.25" customHeight="1" x14ac:dyDescent="0.2">
      <c r="A349" s="6">
        <v>16203</v>
      </c>
      <c r="B349" s="6" t="s">
        <v>86</v>
      </c>
      <c r="C349" s="7">
        <v>16</v>
      </c>
      <c r="D349" s="8">
        <v>1</v>
      </c>
      <c r="E349" s="8">
        <v>2</v>
      </c>
      <c r="F349" s="9">
        <f t="shared" si="85"/>
        <v>2</v>
      </c>
      <c r="G349" s="10">
        <f>IF(H349=483,IF(ISERROR(0/C349/D349/E349/I349/J349/K349/M349),"VOID",ROUND(I349+2*J349+K349+M349,-1)),"FALSE")</f>
        <v>6180</v>
      </c>
      <c r="H349" s="11">
        <v>483</v>
      </c>
      <c r="I349" s="36">
        <v>500</v>
      </c>
      <c r="J349" s="36">
        <v>300</v>
      </c>
      <c r="K349" s="36">
        <v>4575</v>
      </c>
      <c r="L349" s="38">
        <v>50</v>
      </c>
      <c r="M349" s="8">
        <v>500</v>
      </c>
      <c r="N349" s="37"/>
      <c r="O349" s="8"/>
      <c r="P349" s="8"/>
      <c r="Q349" s="8"/>
      <c r="R349" s="8"/>
      <c r="S349" s="33"/>
      <c r="T349" s="34">
        <f>IF(C349="","",ROUND(CHOOSE(MATCH(C349,{5,6,7,8,10,12,14,16,18,20,22,25,28,32,40},0),0.154,0.222,0.302,0.395,0.617,0.888,1.209,1.579,1.998,2.467,2.985,3.855,4.836,6.316,9.868)*D349*E349*G349/1000,3))</f>
        <v>19.515999999999998</v>
      </c>
    </row>
    <row r="350" spans="1:20" ht="26.25" customHeight="1" x14ac:dyDescent="0.2">
      <c r="A350" s="6">
        <v>16204</v>
      </c>
      <c r="B350" s="6" t="s">
        <v>86</v>
      </c>
      <c r="C350" s="7">
        <v>16</v>
      </c>
      <c r="D350" s="8">
        <v>1</v>
      </c>
      <c r="E350" s="8">
        <v>3</v>
      </c>
      <c r="F350" s="9">
        <f t="shared" si="85"/>
        <v>3</v>
      </c>
      <c r="G350" s="10">
        <f>IF(H350=111,IF(ISERROR(0/C350/D350/E350/I350/J350),"VOID",ROUND(I350+J350-IF(C350&lt;20,1.25*C350,1.75*C350),-1)),"FALSE")</f>
        <v>3440</v>
      </c>
      <c r="H350" s="11">
        <v>111</v>
      </c>
      <c r="I350" s="36">
        <v>150</v>
      </c>
      <c r="J350" s="36">
        <v>3312</v>
      </c>
      <c r="K350" s="36"/>
      <c r="L350" s="38"/>
      <c r="M350" s="8"/>
      <c r="N350" s="37"/>
      <c r="O350" s="8"/>
      <c r="P350" s="8"/>
      <c r="Q350" s="8"/>
      <c r="R350" s="8"/>
      <c r="S350" s="69"/>
      <c r="T350" s="34">
        <f>IF(C350="","",ROUND(CHOOSE(MATCH(C350,{5,6,7,8,10,12,14,16,18,20,22,25,28,32,40},0),0.154,0.222,0.302,0.395,0.617,0.888,1.209,1.579,1.998,2.467,2.985,3.855,4.836,6.316,9.868)*D350*E350*G350/1000,3))</f>
        <v>16.295000000000002</v>
      </c>
    </row>
    <row r="351" spans="1:20" ht="26.25" customHeight="1" x14ac:dyDescent="0.2">
      <c r="A351" s="6">
        <v>16205</v>
      </c>
      <c r="B351" s="6" t="s">
        <v>86</v>
      </c>
      <c r="C351" s="7">
        <v>16</v>
      </c>
      <c r="D351" s="8">
        <v>1</v>
      </c>
      <c r="E351" s="8">
        <v>2</v>
      </c>
      <c r="F351" s="9">
        <f t="shared" si="85"/>
        <v>2</v>
      </c>
      <c r="G351" s="10">
        <f>IF(H351=310,IF(ISERROR(0/C351/D351/E351/I351/J351/K351/M351),"VOID",ROUND(I351+J351+K351+M351-IF(C351&lt;20,1.25*C351,1.75*C351),-1)),"FALSE")</f>
        <v>2470</v>
      </c>
      <c r="H351" s="11">
        <v>310</v>
      </c>
      <c r="I351" s="36">
        <v>500</v>
      </c>
      <c r="J351" s="36">
        <v>300</v>
      </c>
      <c r="K351" s="36">
        <v>1538</v>
      </c>
      <c r="L351" s="38">
        <v>50</v>
      </c>
      <c r="M351" s="8">
        <v>150</v>
      </c>
      <c r="N351" s="37"/>
      <c r="O351" s="8"/>
      <c r="P351" s="8"/>
      <c r="Q351" s="8"/>
      <c r="R351" s="8"/>
      <c r="S351" s="33"/>
      <c r="T351" s="34">
        <f>IF(C351="","",ROUND(CHOOSE(MATCH(C351,{5,6,7,8,10,12,14,16,18,20,22,25,28,32,40},0),0.154,0.222,0.302,0.395,0.617,0.888,1.209,1.579,1.998,2.467,2.985,3.855,4.836,6.316,9.868)*D351*E351*G351/1000,3))</f>
        <v>7.8</v>
      </c>
    </row>
    <row r="352" spans="1:20" ht="54.75" customHeight="1" x14ac:dyDescent="0.2">
      <c r="A352" s="6">
        <v>16206</v>
      </c>
      <c r="B352" s="6" t="s">
        <v>86</v>
      </c>
      <c r="C352" s="7">
        <v>16</v>
      </c>
      <c r="D352" s="8">
        <v>1</v>
      </c>
      <c r="E352" s="8">
        <v>3</v>
      </c>
      <c r="F352" s="9">
        <f t="shared" si="85"/>
        <v>3</v>
      </c>
      <c r="G352" s="10">
        <f>IF(H352=100,IF(ISERROR(0/C352/D352/E352/I352),"VOID",ROUND(I352,-1)),"FALSE")</f>
        <v>5200</v>
      </c>
      <c r="H352" s="11">
        <v>100</v>
      </c>
      <c r="I352" s="36">
        <v>5200</v>
      </c>
      <c r="J352" s="36"/>
      <c r="K352" s="36"/>
      <c r="L352" s="38"/>
      <c r="M352" s="8"/>
      <c r="N352" s="37"/>
      <c r="O352" s="8"/>
      <c r="P352" s="8"/>
      <c r="Q352" s="8"/>
      <c r="R352" s="8"/>
      <c r="S352" s="69"/>
      <c r="T352" s="34">
        <f>IF(C352="","",ROUND(CHOOSE(MATCH(C352,{5,6,7,8,10,12,14,16,18,20,22,25,28,32,40},0),0.154,0.222,0.302,0.395,0.617,0.888,1.209,1.579,1.998,2.467,2.985,3.855,4.836,6.316,9.868)*D352*E352*G352/1000,3))</f>
        <v>24.632000000000001</v>
      </c>
    </row>
    <row r="353" spans="1:20" ht="26.25" customHeight="1" x14ac:dyDescent="0.2">
      <c r="A353" s="6">
        <v>16207</v>
      </c>
      <c r="B353" s="6" t="s">
        <v>86</v>
      </c>
      <c r="C353" s="7">
        <v>16</v>
      </c>
      <c r="D353" s="8">
        <v>1</v>
      </c>
      <c r="E353" s="8">
        <v>2</v>
      </c>
      <c r="F353" s="9">
        <f t="shared" ref="F353:F416" si="86">D353*E353</f>
        <v>2</v>
      </c>
      <c r="G353" s="10">
        <f>IF(H353=310,IF(ISERROR(0/C353/D353/E353/I353/J353/K353/M353),"VOID",ROUND(I353+J353+K353+M353-IF(C353&lt;20,1.25*C353,1.75*C353),-1)),"FALSE")</f>
        <v>9820</v>
      </c>
      <c r="H353" s="11">
        <v>310</v>
      </c>
      <c r="I353" s="36">
        <v>500</v>
      </c>
      <c r="J353" s="36">
        <v>300</v>
      </c>
      <c r="K353" s="36">
        <v>8887</v>
      </c>
      <c r="L353" s="38">
        <v>50</v>
      </c>
      <c r="M353" s="8">
        <v>150</v>
      </c>
      <c r="N353" s="37"/>
      <c r="O353" s="8"/>
      <c r="P353" s="8"/>
      <c r="Q353" s="8"/>
      <c r="R353" s="8"/>
      <c r="S353" s="33"/>
      <c r="T353" s="34">
        <f>IF(C353="","",ROUND(CHOOSE(MATCH(C353,{5,6,7,8,10,12,14,16,18,20,22,25,28,32,40},0),0.154,0.222,0.302,0.395,0.617,0.888,1.209,1.579,1.998,2.467,2.985,3.855,4.836,6.316,9.868)*D353*E353*G353/1000,3))</f>
        <v>31.012</v>
      </c>
    </row>
    <row r="354" spans="1:20" ht="26.25" customHeight="1" x14ac:dyDescent="0.2">
      <c r="A354" s="6">
        <v>1006</v>
      </c>
      <c r="B354" s="6" t="s">
        <v>86</v>
      </c>
      <c r="C354" s="7">
        <v>10</v>
      </c>
      <c r="D354" s="8">
        <v>1</v>
      </c>
      <c r="E354" s="8">
        <v>105</v>
      </c>
      <c r="F354" s="9">
        <f t="shared" si="86"/>
        <v>105</v>
      </c>
      <c r="G354" s="10">
        <f>IF(H354=500,IF(ISERROR(0/C354/D354/E354/I354/J354/K354),"VOID",ROUND(2*(I354+J354+K354)-IF(C354&lt;20,6.25*C354,8.75*C354),-1)),"FALSE")</f>
        <v>1150</v>
      </c>
      <c r="H354" s="11">
        <v>500</v>
      </c>
      <c r="I354" s="36">
        <v>175</v>
      </c>
      <c r="J354" s="36">
        <v>300</v>
      </c>
      <c r="K354" s="36">
        <f>CEILING(MAX(C354*13,),5)</f>
        <v>130</v>
      </c>
      <c r="L354" s="38"/>
      <c r="M354" s="8"/>
      <c r="N354" s="37"/>
      <c r="O354" s="8"/>
      <c r="P354" s="8"/>
      <c r="Q354" s="8"/>
      <c r="R354" s="8"/>
      <c r="S354" s="69"/>
      <c r="T354" s="34">
        <f>IF(C354="","",ROUND(CHOOSE(MATCH(C354,{5,6,7,8,10,12,14,16,18,20,22,25,28,32,40},0),0.154,0.222,0.302,0.395,0.617,0.888,1.209,1.579,1.998,2.467,2.985,3.855,4.836,6.316,9.868)*D354*E354*G354/1000,3))</f>
        <v>74.503</v>
      </c>
    </row>
    <row r="355" spans="1:20" ht="26.25" customHeight="1" x14ac:dyDescent="0.2">
      <c r="A355" s="6">
        <v>20208</v>
      </c>
      <c r="B355" s="6" t="s">
        <v>86</v>
      </c>
      <c r="C355" s="7">
        <v>20</v>
      </c>
      <c r="D355" s="8">
        <v>1</v>
      </c>
      <c r="E355" s="8">
        <v>4</v>
      </c>
      <c r="F355" s="9">
        <f t="shared" si="86"/>
        <v>4</v>
      </c>
      <c r="G355" s="10">
        <f>IF(H355=310,IF(ISERROR(0/C355/D355/E355/I355/J355/K355/M355),"VOID",ROUND(I355+J355+K355+M355-IF(C355&lt;20,1.25*C355,1.75*C355),-1)),"FALSE")</f>
        <v>3280</v>
      </c>
      <c r="H355" s="11">
        <v>310</v>
      </c>
      <c r="I355" s="36">
        <v>500</v>
      </c>
      <c r="J355" s="36">
        <v>300</v>
      </c>
      <c r="K355" s="36">
        <v>2363</v>
      </c>
      <c r="L355" s="38">
        <v>50</v>
      </c>
      <c r="M355" s="8">
        <v>150</v>
      </c>
      <c r="N355" s="37"/>
      <c r="O355" s="8"/>
      <c r="P355" s="8"/>
      <c r="Q355" s="8"/>
      <c r="R355" s="8"/>
      <c r="S355" s="33"/>
      <c r="T355" s="34">
        <f>IF(C355="","",ROUND(CHOOSE(MATCH(C355,{5,6,7,8,10,12,14,16,18,20,22,25,28,32,40},0),0.154,0.222,0.302,0.395,0.617,0.888,1.209,1.579,1.998,2.467,2.985,3.855,4.836,6.316,9.868)*D355*E355*G355/1000,3))</f>
        <v>32.366999999999997</v>
      </c>
    </row>
    <row r="356" spans="1:20" ht="26.25" customHeight="1" x14ac:dyDescent="0.2">
      <c r="A356" s="6">
        <v>25209</v>
      </c>
      <c r="B356" s="6" t="s">
        <v>86</v>
      </c>
      <c r="C356" s="7">
        <v>20</v>
      </c>
      <c r="D356" s="8">
        <v>1</v>
      </c>
      <c r="E356" s="8">
        <v>7</v>
      </c>
      <c r="F356" s="9">
        <f t="shared" si="86"/>
        <v>7</v>
      </c>
      <c r="G356" s="10">
        <f>IF(H356=100,IF(ISERROR(0/C356/D356/E356/I356),"VOID",ROUND(I356,-1)),"FALSE")</f>
        <v>3800</v>
      </c>
      <c r="H356" s="11">
        <v>100</v>
      </c>
      <c r="I356" s="36">
        <v>3800</v>
      </c>
      <c r="J356" s="36"/>
      <c r="K356" s="36"/>
      <c r="L356" s="38"/>
      <c r="M356" s="8"/>
      <c r="N356" s="37"/>
      <c r="O356" s="8"/>
      <c r="P356" s="8"/>
      <c r="Q356" s="8"/>
      <c r="R356" s="8"/>
      <c r="S356" s="69"/>
      <c r="T356" s="34">
        <f>IF(C356="","",ROUND(CHOOSE(MATCH(C356,{5,6,7,8,10,12,14,16,18,20,22,25,28,32,40},0),0.154,0.222,0.302,0.395,0.617,0.888,1.209,1.579,1.998,2.467,2.985,3.855,4.836,6.316,9.868)*D356*E356*G356/1000,3))</f>
        <v>65.622</v>
      </c>
    </row>
    <row r="357" spans="1:20" ht="54.75" customHeight="1" x14ac:dyDescent="0.2">
      <c r="A357" s="6">
        <v>20210</v>
      </c>
      <c r="B357" s="6" t="s">
        <v>86</v>
      </c>
      <c r="C357" s="7">
        <v>20</v>
      </c>
      <c r="D357" s="8">
        <v>1</v>
      </c>
      <c r="E357" s="8">
        <v>2</v>
      </c>
      <c r="F357" s="9">
        <f t="shared" si="86"/>
        <v>2</v>
      </c>
      <c r="G357" s="10">
        <f>IF(H357=483,IF(ISERROR(0/C357/D357/E357/I357/J357/K357/M357),"VOID",ROUND(I357+2*J357+K357+M357,-1)),"FALSE")</f>
        <v>5130</v>
      </c>
      <c r="H357" s="11">
        <v>483</v>
      </c>
      <c r="I357" s="36">
        <v>500</v>
      </c>
      <c r="J357" s="55">
        <v>300</v>
      </c>
      <c r="K357" s="55">
        <v>3525</v>
      </c>
      <c r="L357" s="57">
        <v>50</v>
      </c>
      <c r="M357" s="50">
        <v>500</v>
      </c>
      <c r="N357" s="37"/>
      <c r="O357" s="8"/>
      <c r="P357" s="8"/>
      <c r="Q357" s="8"/>
      <c r="R357" s="8"/>
      <c r="S357" s="33"/>
      <c r="T357" s="34">
        <f>IF(C357="","",ROUND(CHOOSE(MATCH(C357,{5,6,7,8,10,12,14,16,18,20,22,25,28,32,40},0),0.154,0.222,0.302,0.395,0.617,0.888,1.209,1.579,1.998,2.467,2.985,3.855,4.836,6.316,9.868)*D357*E357*G357/1000,3))</f>
        <v>25.311</v>
      </c>
    </row>
    <row r="358" spans="1:20" ht="26.25" customHeight="1" x14ac:dyDescent="0.2">
      <c r="A358" s="6">
        <v>25211</v>
      </c>
      <c r="B358" s="6" t="s">
        <v>86</v>
      </c>
      <c r="C358" s="7">
        <v>25</v>
      </c>
      <c r="D358" s="8">
        <v>1</v>
      </c>
      <c r="E358" s="8">
        <v>3</v>
      </c>
      <c r="F358" s="9">
        <f t="shared" si="86"/>
        <v>3</v>
      </c>
      <c r="G358" s="10">
        <f>IF(H358=100,IF(ISERROR(0/C358/D358/E358/I358),"VOID",ROUND(I358,-1)),"FALSE")</f>
        <v>3800</v>
      </c>
      <c r="H358" s="11">
        <v>100</v>
      </c>
      <c r="I358" s="36">
        <v>3800</v>
      </c>
      <c r="J358" s="36"/>
      <c r="K358" s="55"/>
      <c r="L358" s="57"/>
      <c r="M358" s="50"/>
      <c r="N358" s="37"/>
      <c r="O358" s="8"/>
      <c r="P358" s="8"/>
      <c r="Q358" s="8"/>
      <c r="R358" s="8"/>
      <c r="S358" s="69"/>
      <c r="T358" s="34">
        <f>IF(C358="","",ROUND(CHOOSE(MATCH(C358,{5,6,7,8,10,12,14,16,18,20,22,25,28,32,40},0),0.154,0.222,0.302,0.395,0.617,0.888,1.209,1.579,1.998,2.467,2.985,3.855,4.836,6.316,9.868)*D358*E358*G358/1000,3))</f>
        <v>43.947000000000003</v>
      </c>
    </row>
    <row r="359" spans="1:20" ht="26.25" customHeight="1" x14ac:dyDescent="0.2">
      <c r="A359" s="6">
        <v>25212</v>
      </c>
      <c r="B359" s="6" t="s">
        <v>86</v>
      </c>
      <c r="C359" s="7">
        <v>25</v>
      </c>
      <c r="D359" s="8">
        <v>1</v>
      </c>
      <c r="E359" s="8">
        <v>4</v>
      </c>
      <c r="F359" s="9">
        <f t="shared" si="86"/>
        <v>4</v>
      </c>
      <c r="G359" s="10">
        <f>IF(H359=111,IF(ISERROR(0/C359/D359/E359/I359/J359),"VOID",ROUND(I359+J359-IF(C359&lt;20,1.25*C359,1.75*C359),-1)),"FALSE")</f>
        <v>6040</v>
      </c>
      <c r="H359" s="11">
        <v>111</v>
      </c>
      <c r="I359" s="36">
        <v>150</v>
      </c>
      <c r="J359" s="36">
        <v>5937</v>
      </c>
      <c r="K359" s="36"/>
      <c r="L359" s="38"/>
      <c r="M359" s="8"/>
      <c r="N359" s="37"/>
      <c r="O359" s="8"/>
      <c r="P359" s="8"/>
      <c r="Q359" s="8"/>
      <c r="R359" s="8"/>
      <c r="S359" s="69"/>
      <c r="T359" s="34">
        <f>IF(C359="","",ROUND(CHOOSE(MATCH(C359,{5,6,7,8,10,12,14,16,18,20,22,25,28,32,40},0),0.154,0.222,0.302,0.395,0.617,0.888,1.209,1.579,1.998,2.467,2.985,3.855,4.836,6.316,9.868)*D359*E359*G359/1000,3))</f>
        <v>93.137</v>
      </c>
    </row>
    <row r="360" spans="1:20" ht="26.25" customHeight="1" x14ac:dyDescent="0.2">
      <c r="A360" s="6">
        <v>16213</v>
      </c>
      <c r="B360" s="6" t="s">
        <v>86</v>
      </c>
      <c r="C360" s="7">
        <v>16</v>
      </c>
      <c r="D360" s="8">
        <v>1</v>
      </c>
      <c r="E360" s="8">
        <v>2</v>
      </c>
      <c r="F360" s="9">
        <f t="shared" si="86"/>
        <v>2</v>
      </c>
      <c r="G360" s="10">
        <f>IF(H360=111,IF(ISERROR(0/C360/D360/E360/I360/J360),"VOID",ROUND(I360+J360-IF(C360&lt;20,1.25*C360,1.75*C360),-1)),"FALSE")</f>
        <v>2980</v>
      </c>
      <c r="H360" s="11">
        <v>111</v>
      </c>
      <c r="I360" s="36">
        <v>150</v>
      </c>
      <c r="J360" s="36">
        <v>2851</v>
      </c>
      <c r="K360" s="55"/>
      <c r="L360" s="57"/>
      <c r="M360" s="50"/>
      <c r="N360" s="37"/>
      <c r="O360" s="8"/>
      <c r="P360" s="8"/>
      <c r="Q360" s="8"/>
      <c r="R360" s="8"/>
      <c r="S360" s="69"/>
      <c r="T360" s="34">
        <f>IF(C360="","",ROUND(CHOOSE(MATCH(C360,{5,6,7,8,10,12,14,16,18,20,22,25,28,32,40},0),0.154,0.222,0.302,0.395,0.617,0.888,1.209,1.579,1.998,2.467,2.985,3.855,4.836,6.316,9.868)*D360*E360*G360/1000,3))</f>
        <v>9.4109999999999996</v>
      </c>
    </row>
    <row r="361" spans="1:20" ht="26.25" customHeight="1" x14ac:dyDescent="0.2">
      <c r="A361" s="6">
        <v>20214</v>
      </c>
      <c r="B361" s="6" t="s">
        <v>86</v>
      </c>
      <c r="C361" s="7">
        <v>20</v>
      </c>
      <c r="D361" s="8">
        <v>1</v>
      </c>
      <c r="E361" s="8">
        <v>3</v>
      </c>
      <c r="F361" s="9">
        <f t="shared" si="86"/>
        <v>3</v>
      </c>
      <c r="G361" s="10">
        <f>IF(H361=111,IF(ISERROR(0/C361/D361/E361/I361/J361),"VOID",ROUND(I361+J361-IF(C361&lt;20,1.25*C361,1.75*C361),-1)),"FALSE")</f>
        <v>4740</v>
      </c>
      <c r="H361" s="11">
        <v>111</v>
      </c>
      <c r="I361" s="36">
        <v>150</v>
      </c>
      <c r="J361" s="55">
        <v>4625</v>
      </c>
      <c r="K361" s="36"/>
      <c r="L361" s="38"/>
      <c r="M361" s="8"/>
      <c r="N361" s="37"/>
      <c r="O361" s="8"/>
      <c r="P361" s="8"/>
      <c r="Q361" s="8"/>
      <c r="R361" s="8"/>
      <c r="S361" s="69"/>
      <c r="T361" s="34">
        <f>IF(C361="","",ROUND(CHOOSE(MATCH(C361,{5,6,7,8,10,12,14,16,18,20,22,25,28,32,40},0),0.154,0.222,0.302,0.395,0.617,0.888,1.209,1.579,1.998,2.467,2.985,3.855,4.836,6.316,9.868)*D361*E361*G361/1000,3))</f>
        <v>35.081000000000003</v>
      </c>
    </row>
    <row r="362" spans="1:20" ht="26.25" customHeight="1" x14ac:dyDescent="0.2">
      <c r="A362" s="6">
        <v>25217</v>
      </c>
      <c r="B362" s="6" t="s">
        <v>86</v>
      </c>
      <c r="C362" s="7">
        <v>25</v>
      </c>
      <c r="D362" s="8">
        <v>1</v>
      </c>
      <c r="E362" s="8">
        <v>3</v>
      </c>
      <c r="F362" s="9">
        <f t="shared" si="86"/>
        <v>3</v>
      </c>
      <c r="G362" s="10">
        <f>IF(H362=100,IF(ISERROR(0/C362/D362/E362/I362),"VOID",ROUND(I362,-1)),"FALSE")</f>
        <v>7530</v>
      </c>
      <c r="H362" s="11">
        <v>100</v>
      </c>
      <c r="I362" s="36">
        <v>7525</v>
      </c>
      <c r="J362" s="8"/>
      <c r="K362" s="37"/>
      <c r="L362" s="53"/>
      <c r="M362" s="8"/>
      <c r="N362" s="37"/>
      <c r="O362" s="8"/>
      <c r="P362" s="8"/>
      <c r="Q362" s="8"/>
      <c r="R362" s="8"/>
      <c r="S362" s="69"/>
      <c r="T362" s="34">
        <f>IF(C362="","",ROUND(CHOOSE(MATCH(C362,{5,6,7,8,10,12,14,16,18,20,22,25,28,32,40},0),0.154,0.222,0.302,0.395,0.617,0.888,1.209,1.579,1.998,2.467,2.985,3.855,4.836,6.316,9.868)*D362*E362*G362/1000,3))</f>
        <v>87.084000000000003</v>
      </c>
    </row>
    <row r="363" spans="1:20" ht="26.25" customHeight="1" x14ac:dyDescent="0.2">
      <c r="A363" s="6">
        <v>20218</v>
      </c>
      <c r="B363" s="6" t="s">
        <v>86</v>
      </c>
      <c r="C363" s="7">
        <v>20</v>
      </c>
      <c r="D363" s="8">
        <v>1</v>
      </c>
      <c r="E363" s="8">
        <v>3</v>
      </c>
      <c r="F363" s="9">
        <f t="shared" si="86"/>
        <v>3</v>
      </c>
      <c r="G363" s="10">
        <f>IF(H363=310,IF(ISERROR(0/C363/D363/E363/I363/J363/K363/M363),"VOID",ROUND(I363+J363+K363+M363-IF(C363&lt;20,1.25*C363,1.75*C363),-1)),"FALSE")</f>
        <v>5540</v>
      </c>
      <c r="H363" s="11">
        <v>310</v>
      </c>
      <c r="I363" s="36">
        <v>500</v>
      </c>
      <c r="J363" s="36">
        <v>300</v>
      </c>
      <c r="K363" s="36">
        <v>4625</v>
      </c>
      <c r="L363" s="38">
        <v>50</v>
      </c>
      <c r="M363" s="8">
        <v>150</v>
      </c>
      <c r="N363" s="37"/>
      <c r="O363" s="8"/>
      <c r="P363" s="8"/>
      <c r="Q363" s="8"/>
      <c r="R363" s="8"/>
      <c r="S363" s="33"/>
      <c r="T363" s="34">
        <f>IF(C363="","",ROUND(CHOOSE(MATCH(C363,{5,6,7,8,10,12,14,16,18,20,22,25,28,32,40},0),0.154,0.222,0.302,0.395,0.617,0.888,1.209,1.579,1.998,2.467,2.985,3.855,4.836,6.316,9.868)*D363*E363*G363/1000,3))</f>
        <v>41.002000000000002</v>
      </c>
    </row>
    <row r="364" spans="1:20" ht="26.25" customHeight="1" x14ac:dyDescent="0.2">
      <c r="A364" s="6">
        <v>16219</v>
      </c>
      <c r="B364" s="6" t="s">
        <v>86</v>
      </c>
      <c r="C364" s="7">
        <v>20</v>
      </c>
      <c r="D364" s="8">
        <v>1</v>
      </c>
      <c r="E364" s="8">
        <v>2</v>
      </c>
      <c r="F364" s="9">
        <f t="shared" si="86"/>
        <v>2</v>
      </c>
      <c r="G364" s="10">
        <f>IF(H364=111,IF(ISERROR(0/C364/D364/E364/I364/J364),"VOID",ROUND(I364+J364-IF(C364&lt;20,1.25*C364,1.75*C364),-1)),"FALSE")</f>
        <v>2730</v>
      </c>
      <c r="H364" s="11">
        <v>111</v>
      </c>
      <c r="I364" s="36">
        <v>150</v>
      </c>
      <c r="J364" s="36">
        <v>2612</v>
      </c>
      <c r="K364" s="36"/>
      <c r="L364" s="38"/>
      <c r="M364" s="8"/>
      <c r="N364" s="37"/>
      <c r="O364" s="8"/>
      <c r="P364" s="8"/>
      <c r="Q364" s="8"/>
      <c r="R364" s="8"/>
      <c r="S364" s="69"/>
      <c r="T364" s="34">
        <f>IF(C364="","",ROUND(CHOOSE(MATCH(C364,{5,6,7,8,10,12,14,16,18,20,22,25,28,32,40},0),0.154,0.222,0.302,0.395,0.617,0.888,1.209,1.579,1.998,2.467,2.985,3.855,4.836,6.316,9.868)*D364*E364*G364/1000,3))</f>
        <v>13.47</v>
      </c>
    </row>
    <row r="365" spans="1:20" ht="26.25" customHeight="1" x14ac:dyDescent="0.2">
      <c r="A365" s="6">
        <v>1006</v>
      </c>
      <c r="B365" s="6" t="s">
        <v>82</v>
      </c>
      <c r="C365" s="7">
        <v>10</v>
      </c>
      <c r="D365" s="8">
        <v>1</v>
      </c>
      <c r="E365" s="8">
        <v>11</v>
      </c>
      <c r="F365" s="9">
        <f t="shared" si="86"/>
        <v>11</v>
      </c>
      <c r="G365" s="10">
        <f>IF(H365=500,IF(ISERROR(0/C365/D365/E365/I365/J365/K365),"VOID",ROUND(2*(I365+J365+K365)-IF(C365&lt;20,6.25*C365,8.75*C365),-1)),"FALSE")</f>
        <v>1150</v>
      </c>
      <c r="H365" s="11">
        <v>500</v>
      </c>
      <c r="I365" s="36">
        <v>175</v>
      </c>
      <c r="J365" s="36">
        <v>300</v>
      </c>
      <c r="K365" s="36">
        <f>CEILING(MAX(C365*13,),5)</f>
        <v>130</v>
      </c>
      <c r="L365" s="57"/>
      <c r="M365" s="50"/>
      <c r="N365" s="37"/>
      <c r="O365" s="8"/>
      <c r="P365" s="8"/>
      <c r="Q365" s="8"/>
      <c r="R365" s="8"/>
      <c r="S365" s="69"/>
      <c r="T365" s="34">
        <f>IF(C365="","",ROUND(CHOOSE(MATCH(C365,{5,6,7,8,10,12,14,16,18,20,22,25,28,32,40},0),0.154,0.222,0.302,0.395,0.617,0.888,1.209,1.579,1.998,2.467,2.985,3.855,4.836,6.316,9.868)*D365*E365*G365/1000,3))</f>
        <v>7.8049999999999997</v>
      </c>
    </row>
    <row r="366" spans="1:20" ht="26.25" customHeight="1" x14ac:dyDescent="0.2">
      <c r="A366" s="6" t="s">
        <v>87</v>
      </c>
      <c r="B366" s="6" t="s">
        <v>86</v>
      </c>
      <c r="C366" s="7">
        <v>10</v>
      </c>
      <c r="D366" s="8">
        <v>1</v>
      </c>
      <c r="E366" s="8">
        <v>83</v>
      </c>
      <c r="F366" s="9">
        <f t="shared" si="86"/>
        <v>83</v>
      </c>
      <c r="G366" s="10">
        <f>IF(H366=500,IF(ISERROR(0/C366/D366/E366/I366/J366/K366),"VOID",ROUND(2*(I366+J366+K366)-IF(C366&lt;20,6.25*C366,8.75*C366),-1)),"FALSE")</f>
        <v>1150</v>
      </c>
      <c r="H366" s="11">
        <v>500</v>
      </c>
      <c r="I366" s="36">
        <v>175</v>
      </c>
      <c r="J366" s="36">
        <v>300</v>
      </c>
      <c r="K366" s="36">
        <f>CEILING(MAX(C366*13,),5)</f>
        <v>130</v>
      </c>
      <c r="L366" s="38"/>
      <c r="M366" s="8"/>
      <c r="N366" s="37"/>
      <c r="O366" s="8"/>
      <c r="P366" s="8"/>
      <c r="Q366" s="8"/>
      <c r="R366" s="8"/>
      <c r="S366" s="69"/>
      <c r="T366" s="34">
        <f>IF(C366="","",ROUND(CHOOSE(MATCH(C366,{5,6,7,8,10,12,14,16,18,20,22,25,28,32,40},0),0.154,0.222,0.302,0.395,0.617,0.888,1.209,1.579,1.998,2.467,2.985,3.855,4.836,6.316,9.868)*D366*E366*G366/1000,3))</f>
        <v>58.893000000000001</v>
      </c>
    </row>
    <row r="367" spans="1:20" ht="26.25" customHeight="1" x14ac:dyDescent="0.2">
      <c r="A367" s="6">
        <v>16220</v>
      </c>
      <c r="B367" s="6" t="s">
        <v>88</v>
      </c>
      <c r="C367" s="7">
        <v>16</v>
      </c>
      <c r="D367" s="8">
        <v>1</v>
      </c>
      <c r="E367" s="8">
        <v>4</v>
      </c>
      <c r="F367" s="9">
        <f t="shared" si="86"/>
        <v>4</v>
      </c>
      <c r="G367" s="10">
        <f>IF(H367=310,IF(ISERROR(0/C367/D367/E367/I367/J367/K367/M367),"VOID",ROUND(I367+J367+K367+M367-IF(C367&lt;20,1.25*C367,1.75*C367),-1)),"FALSE")</f>
        <v>5090</v>
      </c>
      <c r="H367" s="11">
        <v>310</v>
      </c>
      <c r="I367" s="36">
        <v>500</v>
      </c>
      <c r="J367" s="36">
        <v>300</v>
      </c>
      <c r="K367" s="36">
        <v>4163</v>
      </c>
      <c r="L367" s="38">
        <v>50</v>
      </c>
      <c r="M367" s="8">
        <v>150</v>
      </c>
      <c r="N367" s="37"/>
      <c r="O367" s="8"/>
      <c r="P367" s="8"/>
      <c r="Q367" s="8"/>
      <c r="R367" s="8"/>
      <c r="S367" s="33"/>
      <c r="T367" s="34">
        <f>IF(C367="","",ROUND(CHOOSE(MATCH(C367,{5,6,7,8,10,12,14,16,18,20,22,25,28,32,40},0),0.154,0.222,0.302,0.395,0.617,0.888,1.209,1.579,1.998,2.467,2.985,3.855,4.836,6.316,9.868)*D367*E367*G367/1000,3))</f>
        <v>32.148000000000003</v>
      </c>
    </row>
    <row r="368" spans="1:20" ht="26.25" customHeight="1" x14ac:dyDescent="0.2">
      <c r="A368" s="6">
        <v>20221</v>
      </c>
      <c r="B368" s="6" t="s">
        <v>88</v>
      </c>
      <c r="C368" s="7">
        <v>20</v>
      </c>
      <c r="D368" s="8">
        <v>1</v>
      </c>
      <c r="E368" s="8">
        <v>3</v>
      </c>
      <c r="F368" s="9">
        <f t="shared" si="86"/>
        <v>3</v>
      </c>
      <c r="G368" s="10">
        <f>IF(H368=100,IF(ISERROR(0/C368/D368/E368/I368),"VOID",ROUND(I368,-1)),"FALSE")</f>
        <v>3800</v>
      </c>
      <c r="H368" s="11">
        <v>100</v>
      </c>
      <c r="I368" s="36">
        <v>3800</v>
      </c>
      <c r="J368" s="36"/>
      <c r="K368" s="36"/>
      <c r="L368" s="38"/>
      <c r="M368" s="8"/>
      <c r="N368" s="37"/>
      <c r="O368" s="8"/>
      <c r="P368" s="8"/>
      <c r="Q368" s="8"/>
      <c r="R368" s="8"/>
      <c r="S368" s="69"/>
      <c r="T368" s="34">
        <f>IF(C368="","",ROUND(CHOOSE(MATCH(C368,{5,6,7,8,10,12,14,16,18,20,22,25,28,32,40},0),0.154,0.222,0.302,0.395,0.617,0.888,1.209,1.579,1.998,2.467,2.985,3.855,4.836,6.316,9.868)*D368*E368*G368/1000,3))</f>
        <v>28.123999999999999</v>
      </c>
    </row>
    <row r="369" spans="1:20" ht="26.25" customHeight="1" x14ac:dyDescent="0.2">
      <c r="A369" s="6">
        <v>16222</v>
      </c>
      <c r="B369" s="6" t="s">
        <v>88</v>
      </c>
      <c r="C369" s="7">
        <v>16</v>
      </c>
      <c r="D369" s="8">
        <v>1</v>
      </c>
      <c r="E369" s="8">
        <v>2</v>
      </c>
      <c r="F369" s="9">
        <f t="shared" si="86"/>
        <v>2</v>
      </c>
      <c r="G369" s="10">
        <f>IF(H369=483,IF(ISERROR(0/C369/D369/E369/I369/J369/K369/M369),"VOID",ROUND(I369+2*J369+K369+M369,-1)),"FALSE")</f>
        <v>5130</v>
      </c>
      <c r="H369" s="11">
        <v>483</v>
      </c>
      <c r="I369" s="36">
        <v>500</v>
      </c>
      <c r="J369" s="55">
        <v>300</v>
      </c>
      <c r="K369" s="55">
        <v>3525</v>
      </c>
      <c r="L369" s="57">
        <v>50</v>
      </c>
      <c r="M369" s="50">
        <v>500</v>
      </c>
      <c r="N369" s="37"/>
      <c r="O369" s="8"/>
      <c r="P369" s="8"/>
      <c r="Q369" s="8"/>
      <c r="R369" s="8"/>
      <c r="S369" s="33"/>
      <c r="T369" s="34">
        <f>IF(C369="","",ROUND(CHOOSE(MATCH(C369,{5,6,7,8,10,12,14,16,18,20,22,25,28,32,40},0),0.154,0.222,0.302,0.395,0.617,0.888,1.209,1.579,1.998,2.467,2.985,3.855,4.836,6.316,9.868)*D369*E369*G369/1000,3))</f>
        <v>16.201000000000001</v>
      </c>
    </row>
    <row r="370" spans="1:20" ht="54.75" customHeight="1" x14ac:dyDescent="0.2">
      <c r="A370" s="6">
        <v>20223</v>
      </c>
      <c r="B370" s="6" t="s">
        <v>88</v>
      </c>
      <c r="C370" s="7">
        <v>20</v>
      </c>
      <c r="D370" s="8">
        <v>1</v>
      </c>
      <c r="E370" s="8">
        <v>5</v>
      </c>
      <c r="F370" s="9">
        <f t="shared" si="86"/>
        <v>5</v>
      </c>
      <c r="G370" s="10">
        <f>IF(H370=100,IF(ISERROR(0/C370/D370/E370/I370),"VOID",ROUND(I370,-1)),"FALSE")</f>
        <v>3800</v>
      </c>
      <c r="H370" s="11">
        <v>100</v>
      </c>
      <c r="I370" s="36">
        <v>3800</v>
      </c>
      <c r="J370" s="36"/>
      <c r="K370" s="36"/>
      <c r="L370" s="38"/>
      <c r="M370" s="8"/>
      <c r="N370" s="37"/>
      <c r="O370" s="8"/>
      <c r="P370" s="8"/>
      <c r="Q370" s="8"/>
      <c r="R370" s="8"/>
      <c r="S370" s="69"/>
      <c r="T370" s="34">
        <f>IF(C370="","",ROUND(CHOOSE(MATCH(C370,{5,6,7,8,10,12,14,16,18,20,22,25,28,32,40},0),0.154,0.222,0.302,0.395,0.617,0.888,1.209,1.579,1.998,2.467,2.985,3.855,4.836,6.316,9.868)*D370*E370*G370/1000,3))</f>
        <v>46.872999999999998</v>
      </c>
    </row>
    <row r="371" spans="1:20" ht="26.25" customHeight="1" x14ac:dyDescent="0.2">
      <c r="A371" s="6">
        <v>16224</v>
      </c>
      <c r="B371" s="6" t="s">
        <v>88</v>
      </c>
      <c r="C371" s="7">
        <v>16</v>
      </c>
      <c r="D371" s="8">
        <v>1</v>
      </c>
      <c r="E371" s="8">
        <v>4</v>
      </c>
      <c r="F371" s="9">
        <f t="shared" si="86"/>
        <v>4</v>
      </c>
      <c r="G371" s="10">
        <f>IF(H371=310,IF(ISERROR(0/C371/D371/E371/I371/J371/K371/M371),"VOID",ROUND(I371+J371+K371+M371-IF(C371&lt;20,1.25*C371,1.75*C371),-1)),"FALSE")</f>
        <v>4870</v>
      </c>
      <c r="H371" s="11">
        <v>310</v>
      </c>
      <c r="I371" s="36">
        <v>500</v>
      </c>
      <c r="J371" s="36">
        <v>300</v>
      </c>
      <c r="K371" s="55">
        <v>3937</v>
      </c>
      <c r="L371" s="57">
        <v>50</v>
      </c>
      <c r="M371" s="50">
        <v>150</v>
      </c>
      <c r="N371" s="37"/>
      <c r="O371" s="8"/>
      <c r="P371" s="8"/>
      <c r="Q371" s="8"/>
      <c r="R371" s="8"/>
      <c r="S371" s="33"/>
      <c r="T371" s="34">
        <f>IF(C371="","",ROUND(CHOOSE(MATCH(C371,{5,6,7,8,10,12,14,16,18,20,22,25,28,32,40},0),0.154,0.222,0.302,0.395,0.617,0.888,1.209,1.579,1.998,2.467,2.985,3.855,4.836,6.316,9.868)*D371*E371*G371/1000,3))</f>
        <v>30.759</v>
      </c>
    </row>
    <row r="372" spans="1:20" ht="26.25" customHeight="1" x14ac:dyDescent="0.2">
      <c r="A372" s="6">
        <v>16213</v>
      </c>
      <c r="B372" s="6" t="s">
        <v>88</v>
      </c>
      <c r="C372" s="7">
        <v>16</v>
      </c>
      <c r="D372" s="8">
        <v>1</v>
      </c>
      <c r="E372" s="8">
        <v>2</v>
      </c>
      <c r="F372" s="9">
        <f t="shared" si="86"/>
        <v>2</v>
      </c>
      <c r="G372" s="10">
        <f>IF(H372=111,IF(ISERROR(0/C372/D372/E372/I372/J372),"VOID",ROUND(I372+J372-IF(C372&lt;20,1.25*C372,1.75*C372),-1)),"FALSE")</f>
        <v>1670</v>
      </c>
      <c r="H372" s="11">
        <v>111</v>
      </c>
      <c r="I372" s="36">
        <v>150</v>
      </c>
      <c r="J372" s="36">
        <v>1538</v>
      </c>
      <c r="K372" s="36"/>
      <c r="L372" s="38"/>
      <c r="M372" s="8"/>
      <c r="N372" s="37"/>
      <c r="O372" s="8"/>
      <c r="P372" s="8"/>
      <c r="Q372" s="8"/>
      <c r="R372" s="8"/>
      <c r="S372" s="69"/>
      <c r="T372" s="34">
        <f>IF(C372="","",ROUND(CHOOSE(MATCH(C372,{5,6,7,8,10,12,14,16,18,20,22,25,28,32,40},0),0.154,0.222,0.302,0.395,0.617,0.888,1.209,1.579,1.998,2.467,2.985,3.855,4.836,6.316,9.868)*D372*E372*G372/1000,3))</f>
        <v>5.274</v>
      </c>
    </row>
    <row r="373" spans="1:20" ht="26.25" customHeight="1" x14ac:dyDescent="0.2">
      <c r="A373" s="6">
        <v>16215</v>
      </c>
      <c r="B373" s="6" t="s">
        <v>88</v>
      </c>
      <c r="C373" s="7">
        <v>16</v>
      </c>
      <c r="D373" s="8">
        <v>1</v>
      </c>
      <c r="E373" s="8">
        <v>2</v>
      </c>
      <c r="F373" s="9">
        <f t="shared" si="86"/>
        <v>2</v>
      </c>
      <c r="G373" s="10">
        <f>IF(H373=111,IF(ISERROR(0/C373/D373/E373/I373/J373),"VOID",ROUND(I373+J373-IF(C373&lt;20,1.25*C373,1.75*C373),-1)),"FALSE")</f>
        <v>2760</v>
      </c>
      <c r="H373" s="11">
        <v>111</v>
      </c>
      <c r="I373" s="36">
        <v>150</v>
      </c>
      <c r="J373" s="36">
        <v>2625</v>
      </c>
      <c r="K373" s="36"/>
      <c r="L373" s="38"/>
      <c r="M373" s="8"/>
      <c r="N373" s="37"/>
      <c r="O373" s="8"/>
      <c r="P373" s="8"/>
      <c r="Q373" s="8"/>
      <c r="R373" s="8"/>
      <c r="S373" s="69"/>
      <c r="T373" s="34">
        <f>IF(C373="","",ROUND(CHOOSE(MATCH(C373,{5,6,7,8,10,12,14,16,18,20,22,25,28,32,40},0),0.154,0.222,0.302,0.395,0.617,0.888,1.209,1.579,1.998,2.467,2.985,3.855,4.836,6.316,9.868)*D373*E373*G373/1000,3))</f>
        <v>8.7159999999999993</v>
      </c>
    </row>
    <row r="374" spans="1:20" ht="26.25" customHeight="1" x14ac:dyDescent="0.2">
      <c r="A374" s="6">
        <v>16216</v>
      </c>
      <c r="B374" s="6" t="s">
        <v>88</v>
      </c>
      <c r="C374" s="7">
        <v>16</v>
      </c>
      <c r="D374" s="8">
        <v>1</v>
      </c>
      <c r="E374" s="8">
        <v>4</v>
      </c>
      <c r="F374" s="9">
        <f t="shared" si="86"/>
        <v>4</v>
      </c>
      <c r="G374" s="10">
        <f>IF(H374=483,IF(ISERROR(0/C374/D374/E374/I374/J374/K374/M374),"VOID",ROUND(I374+2*J374+K374+M374,-1)),"FALSE")</f>
        <v>9130</v>
      </c>
      <c r="H374" s="11">
        <v>483</v>
      </c>
      <c r="I374" s="36">
        <v>500</v>
      </c>
      <c r="J374" s="36">
        <v>300</v>
      </c>
      <c r="K374" s="36">
        <v>7525</v>
      </c>
      <c r="L374" s="38">
        <v>50</v>
      </c>
      <c r="M374" s="8">
        <v>500</v>
      </c>
      <c r="N374" s="37"/>
      <c r="O374" s="8"/>
      <c r="P374" s="8"/>
      <c r="Q374" s="8"/>
      <c r="R374" s="8"/>
      <c r="S374" s="33"/>
      <c r="T374" s="34">
        <f>IF(C374="","",ROUND(CHOOSE(MATCH(C374,{5,6,7,8,10,12,14,16,18,20,22,25,28,32,40},0),0.154,0.222,0.302,0.395,0.617,0.888,1.209,1.579,1.998,2.467,2.985,3.855,4.836,6.316,9.868)*D374*E374*G374/1000,3))</f>
        <v>57.664999999999999</v>
      </c>
    </row>
    <row r="375" spans="1:20" ht="26.25" customHeight="1" x14ac:dyDescent="0.2">
      <c r="A375" s="6">
        <v>16217</v>
      </c>
      <c r="B375" s="6" t="s">
        <v>88</v>
      </c>
      <c r="C375" s="7">
        <v>16</v>
      </c>
      <c r="D375" s="8">
        <v>1</v>
      </c>
      <c r="E375" s="8">
        <v>2</v>
      </c>
      <c r="F375" s="9">
        <f t="shared" si="86"/>
        <v>2</v>
      </c>
      <c r="G375" s="10">
        <f>IF(H375=111,IF(ISERROR(0/C375/D375/E375/I375/J375),"VOID",ROUND(I375+J375-IF(C375&lt;20,1.25*C375,1.75*C375),-1)),"FALSE")</f>
        <v>2760</v>
      </c>
      <c r="H375" s="11">
        <v>111</v>
      </c>
      <c r="I375" s="36">
        <v>150</v>
      </c>
      <c r="J375" s="36">
        <v>2625</v>
      </c>
      <c r="K375" s="55"/>
      <c r="L375" s="38"/>
      <c r="M375" s="8"/>
      <c r="N375" s="37"/>
      <c r="O375" s="8"/>
      <c r="P375" s="8"/>
      <c r="Q375" s="8"/>
      <c r="R375" s="8"/>
      <c r="S375" s="69"/>
      <c r="T375" s="34">
        <f>IF(C375="","",ROUND(CHOOSE(MATCH(C375,{5,6,7,8,10,12,14,16,18,20,22,25,28,32,40},0),0.154,0.222,0.302,0.395,0.617,0.888,1.209,1.579,1.998,2.467,2.985,3.855,4.836,6.316,9.868)*D375*E375*G375/1000,3))</f>
        <v>8.7159999999999993</v>
      </c>
    </row>
    <row r="376" spans="1:20" ht="26.25" customHeight="1" x14ac:dyDescent="0.2">
      <c r="A376" s="6">
        <v>16219</v>
      </c>
      <c r="B376" s="6" t="s">
        <v>88</v>
      </c>
      <c r="C376" s="7">
        <v>16</v>
      </c>
      <c r="D376" s="8">
        <v>1</v>
      </c>
      <c r="E376" s="8">
        <v>2</v>
      </c>
      <c r="F376" s="9">
        <f t="shared" si="86"/>
        <v>2</v>
      </c>
      <c r="G376" s="10">
        <f>IF(H376=111,IF(ISERROR(0/C376/D376/E376/I376/J376),"VOID",ROUND(I376+J376-IF(C376&lt;20,1.25*C376,1.75*C376),-1)),"FALSE")</f>
        <v>1440</v>
      </c>
      <c r="H376" s="11">
        <v>111</v>
      </c>
      <c r="I376" s="36">
        <v>150</v>
      </c>
      <c r="J376" s="36">
        <v>1312</v>
      </c>
      <c r="K376" s="8"/>
      <c r="L376" s="71"/>
      <c r="M376" s="50"/>
      <c r="N376" s="37"/>
      <c r="O376" s="8"/>
      <c r="P376" s="8"/>
      <c r="Q376" s="8"/>
      <c r="R376" s="8"/>
      <c r="S376" s="69"/>
      <c r="T376" s="34">
        <f>IF(C376="","",ROUND(CHOOSE(MATCH(C376,{5,6,7,8,10,12,14,16,18,20,22,25,28,32,40},0),0.154,0.222,0.302,0.395,0.617,0.888,1.209,1.579,1.998,2.467,2.985,3.855,4.836,6.316,9.868)*D376*E376*G376/1000,3))</f>
        <v>4.548</v>
      </c>
    </row>
    <row r="377" spans="1:20" ht="26.25" customHeight="1" x14ac:dyDescent="0.2">
      <c r="A377" s="6">
        <v>1006</v>
      </c>
      <c r="B377" s="6" t="s">
        <v>88</v>
      </c>
      <c r="C377" s="7">
        <v>10</v>
      </c>
      <c r="D377" s="8">
        <v>1</v>
      </c>
      <c r="E377" s="8">
        <v>11</v>
      </c>
      <c r="F377" s="9">
        <f t="shared" si="86"/>
        <v>11</v>
      </c>
      <c r="G377" s="10">
        <f>IF(H377=500,IF(ISERROR(0/C377/D377/E377/I377/J377/K377),"VOID",ROUND(2*(I377+J377+K377)-IF(C377&lt;20,6.25*C377,8.75*C377),-1)),"FALSE")</f>
        <v>1150</v>
      </c>
      <c r="H377" s="11">
        <v>500</v>
      </c>
      <c r="I377" s="36">
        <v>175</v>
      </c>
      <c r="J377" s="36">
        <v>300</v>
      </c>
      <c r="K377" s="36">
        <f>CEILING(MAX(C377*13,),5)</f>
        <v>130</v>
      </c>
      <c r="L377" s="57"/>
      <c r="M377" s="50"/>
      <c r="N377" s="37"/>
      <c r="O377" s="8"/>
      <c r="P377" s="8"/>
      <c r="Q377" s="8"/>
      <c r="R377" s="8"/>
      <c r="S377" s="69"/>
      <c r="T377" s="34">
        <f>IF(C377="","",ROUND(CHOOSE(MATCH(C377,{5,6,7,8,10,12,14,16,18,20,22,25,28,32,40},0),0.154,0.222,0.302,0.395,0.617,0.888,1.209,1.579,1.998,2.467,2.985,3.855,4.836,6.316,9.868)*D377*E377*G377/1000,3))</f>
        <v>7.8049999999999997</v>
      </c>
    </row>
    <row r="378" spans="1:20" ht="26.25" customHeight="1" x14ac:dyDescent="0.2">
      <c r="A378" s="6" t="s">
        <v>67</v>
      </c>
      <c r="B378" s="6" t="s">
        <v>88</v>
      </c>
      <c r="C378" s="7">
        <v>10</v>
      </c>
      <c r="D378" s="8">
        <v>1</v>
      </c>
      <c r="E378" s="8">
        <v>76</v>
      </c>
      <c r="F378" s="9">
        <f t="shared" si="86"/>
        <v>76</v>
      </c>
      <c r="G378" s="10">
        <f>IF(H378=500,IF(ISERROR(0/C378/D378/E378/I378/J378/K378),"VOID",ROUND(2*(I378+J378+K378)-IF(C378&lt;20,6.25*C378,8.75*C378),-1)),"FALSE")</f>
        <v>1150</v>
      </c>
      <c r="H378" s="11">
        <v>500</v>
      </c>
      <c r="I378" s="36">
        <v>175</v>
      </c>
      <c r="J378" s="36">
        <v>300</v>
      </c>
      <c r="K378" s="36">
        <f>CEILING(MAX(C378*13,),5)</f>
        <v>130</v>
      </c>
      <c r="L378" s="38"/>
      <c r="M378" s="8"/>
      <c r="N378" s="37"/>
      <c r="O378" s="8"/>
      <c r="P378" s="8"/>
      <c r="Q378" s="8"/>
      <c r="R378" s="8"/>
      <c r="S378" s="69"/>
      <c r="T378" s="34">
        <f>IF(C378="","",ROUND(CHOOSE(MATCH(C378,{5,6,7,8,10,12,14,16,18,20,22,25,28,32,40},0),0.154,0.222,0.302,0.395,0.617,0.888,1.209,1.579,1.998,2.467,2.985,3.855,4.836,6.316,9.868)*D378*E378*G378/1000,3))</f>
        <v>53.926000000000002</v>
      </c>
    </row>
    <row r="379" spans="1:20" ht="26.25" customHeight="1" x14ac:dyDescent="0.2">
      <c r="A379" s="6">
        <v>16126</v>
      </c>
      <c r="B379" s="6" t="s">
        <v>89</v>
      </c>
      <c r="C379" s="7">
        <v>16</v>
      </c>
      <c r="D379" s="8">
        <v>1</v>
      </c>
      <c r="E379" s="8">
        <v>2</v>
      </c>
      <c r="F379" s="9">
        <f t="shared" si="86"/>
        <v>2</v>
      </c>
      <c r="G379" s="10">
        <f>IF(H379=310,IF(ISERROR(0/C379/D379/E379/I379/J379/K379/M379),"VOID",ROUND(I379+J379+K379+M379-IF(C379&lt;20,1.25*C379,1.75*C379),-1)),"FALSE")</f>
        <v>8280</v>
      </c>
      <c r="H379" s="11">
        <v>310</v>
      </c>
      <c r="I379" s="36">
        <v>500</v>
      </c>
      <c r="J379" s="55">
        <v>300</v>
      </c>
      <c r="K379" s="36">
        <v>7350</v>
      </c>
      <c r="L379" s="12">
        <v>50</v>
      </c>
      <c r="M379" s="37">
        <v>150</v>
      </c>
      <c r="N379" s="37"/>
      <c r="O379" s="8"/>
      <c r="P379" s="8"/>
      <c r="Q379" s="8"/>
      <c r="R379" s="8"/>
      <c r="S379" s="33"/>
      <c r="T379" s="34">
        <f>IF(C379="","",ROUND(CHOOSE(MATCH(C379,{5,6,7,8,10,12,14,16,18,20,22,25,28,32,40},0),0.154,0.222,0.302,0.395,0.617,0.888,1.209,1.579,1.998,2.467,2.985,3.855,4.836,6.316,9.868)*D379*E379*G379/1000,3))</f>
        <v>26.148</v>
      </c>
    </row>
    <row r="380" spans="1:20" ht="26.25" customHeight="1" x14ac:dyDescent="0.2">
      <c r="A380" s="6">
        <v>16127</v>
      </c>
      <c r="B380" s="6" t="s">
        <v>89</v>
      </c>
      <c r="C380" s="7">
        <v>16</v>
      </c>
      <c r="D380" s="8">
        <v>1</v>
      </c>
      <c r="E380" s="8">
        <v>3</v>
      </c>
      <c r="F380" s="9">
        <f t="shared" si="86"/>
        <v>3</v>
      </c>
      <c r="G380" s="10">
        <f>IF(H380=100,IF(ISERROR(0/C380/D380/E380/I380),"VOID",ROUND(I380,-1)),"FALSE")</f>
        <v>2200</v>
      </c>
      <c r="H380" s="11">
        <v>100</v>
      </c>
      <c r="I380" s="36">
        <v>2200</v>
      </c>
      <c r="J380" s="8"/>
      <c r="K380" s="65"/>
      <c r="L380" s="38"/>
      <c r="M380" s="8"/>
      <c r="N380" s="37"/>
      <c r="O380" s="8"/>
      <c r="P380" s="8"/>
      <c r="Q380" s="8"/>
      <c r="R380" s="8"/>
      <c r="S380" s="69"/>
      <c r="T380" s="34">
        <f>IF(C380="","",ROUND(CHOOSE(MATCH(C380,{5,6,7,8,10,12,14,16,18,20,22,25,28,32,40},0),0.154,0.222,0.302,0.395,0.617,0.888,1.209,1.579,1.998,2.467,2.985,3.855,4.836,6.316,9.868)*D380*E380*G380/1000,3))</f>
        <v>10.420999999999999</v>
      </c>
    </row>
    <row r="381" spans="1:20" ht="26.25" customHeight="1" x14ac:dyDescent="0.2">
      <c r="A381" s="6">
        <v>16128</v>
      </c>
      <c r="B381" s="6" t="s">
        <v>89</v>
      </c>
      <c r="C381" s="7">
        <v>16</v>
      </c>
      <c r="D381" s="8">
        <v>1</v>
      </c>
      <c r="E381" s="8">
        <v>2</v>
      </c>
      <c r="F381" s="9">
        <f t="shared" si="86"/>
        <v>2</v>
      </c>
      <c r="G381" s="10">
        <f>IF(H381=310,IF(ISERROR(0/C381/D381/E381/I381/J381/K381/M381),"VOID",ROUND(I381+J381+K381+M381-IF(C381&lt;20,1.25*C381,1.75*C381),-1)),"FALSE")</f>
        <v>4160</v>
      </c>
      <c r="H381" s="11">
        <v>310</v>
      </c>
      <c r="I381" s="36">
        <v>500</v>
      </c>
      <c r="J381" s="36">
        <v>300</v>
      </c>
      <c r="K381" s="36">
        <v>3225</v>
      </c>
      <c r="L381" s="38">
        <v>50</v>
      </c>
      <c r="M381" s="8">
        <v>150</v>
      </c>
      <c r="N381" s="37"/>
      <c r="O381" s="8"/>
      <c r="P381" s="8"/>
      <c r="Q381" s="8"/>
      <c r="R381" s="8"/>
      <c r="S381" s="33"/>
      <c r="T381" s="34">
        <f>IF(C381="","",ROUND(CHOOSE(MATCH(C381,{5,6,7,8,10,12,14,16,18,20,22,25,28,32,40},0),0.154,0.222,0.302,0.395,0.617,0.888,1.209,1.579,1.998,2.467,2.985,3.855,4.836,6.316,9.868)*D381*E381*G381/1000,3))</f>
        <v>13.137</v>
      </c>
    </row>
    <row r="382" spans="1:20" ht="54.75" customHeight="1" x14ac:dyDescent="0.2">
      <c r="A382" s="6">
        <v>16129</v>
      </c>
      <c r="B382" s="6" t="s">
        <v>89</v>
      </c>
      <c r="C382" s="7">
        <v>16</v>
      </c>
      <c r="D382" s="8">
        <v>1</v>
      </c>
      <c r="E382" s="8">
        <v>2</v>
      </c>
      <c r="F382" s="9">
        <f t="shared" si="86"/>
        <v>2</v>
      </c>
      <c r="G382" s="10">
        <f>IF(H382=310,IF(ISERROR(0/C382/D382/E382/I382/J382/K382/M382),"VOID",ROUND(I382+J382+K382+M382-IF(C382&lt;20,1.25*C382,1.75*C382),-1)),"FALSE")</f>
        <v>9280</v>
      </c>
      <c r="H382" s="11">
        <v>310</v>
      </c>
      <c r="I382" s="36">
        <v>500</v>
      </c>
      <c r="J382" s="36">
        <v>300</v>
      </c>
      <c r="K382" s="36">
        <v>8350</v>
      </c>
      <c r="L382" s="38">
        <v>50</v>
      </c>
      <c r="M382" s="8">
        <v>150</v>
      </c>
      <c r="N382" s="37"/>
      <c r="O382" s="8"/>
      <c r="P382" s="8"/>
      <c r="Q382" s="8"/>
      <c r="R382" s="8"/>
      <c r="S382" s="33"/>
      <c r="T382" s="34">
        <f>IF(C382="","",ROUND(CHOOSE(MATCH(C382,{5,6,7,8,10,12,14,16,18,20,22,25,28,32,40},0),0.154,0.222,0.302,0.395,0.617,0.888,1.209,1.579,1.998,2.467,2.985,3.855,4.836,6.316,9.868)*D382*E382*G382/1000,3))</f>
        <v>29.306000000000001</v>
      </c>
    </row>
    <row r="383" spans="1:20" ht="26.25" customHeight="1" x14ac:dyDescent="0.2">
      <c r="A383" s="6">
        <v>16130</v>
      </c>
      <c r="B383" s="6" t="s">
        <v>89</v>
      </c>
      <c r="C383" s="7">
        <v>16</v>
      </c>
      <c r="D383" s="8">
        <v>1</v>
      </c>
      <c r="E383" s="8">
        <v>3</v>
      </c>
      <c r="F383" s="9">
        <f t="shared" si="86"/>
        <v>3</v>
      </c>
      <c r="G383" s="10">
        <f>IF(H383=111,IF(ISERROR(0/C383/D383/E383/I383/J383),"VOID",ROUND(I383+J383-IF(C383&lt;20,1.25*C383,1.75*C383),-1)),"FALSE")</f>
        <v>4560</v>
      </c>
      <c r="H383" s="11">
        <v>111</v>
      </c>
      <c r="I383" s="36">
        <v>150</v>
      </c>
      <c r="J383" s="36">
        <v>4425</v>
      </c>
      <c r="K383" s="36"/>
      <c r="L383" s="38"/>
      <c r="M383" s="8"/>
      <c r="N383" s="37"/>
      <c r="O383" s="8"/>
      <c r="P383" s="8"/>
      <c r="Q383" s="8"/>
      <c r="R383" s="8"/>
      <c r="S383" s="69"/>
      <c r="T383" s="34">
        <f>IF(C383="","",ROUND(CHOOSE(MATCH(C383,{5,6,7,8,10,12,14,16,18,20,22,25,28,32,40},0),0.154,0.222,0.302,0.395,0.617,0.888,1.209,1.579,1.998,2.467,2.985,3.855,4.836,6.316,9.868)*D383*E383*G383/1000,3))</f>
        <v>21.600999999999999</v>
      </c>
    </row>
    <row r="384" spans="1:20" ht="26.25" customHeight="1" x14ac:dyDescent="0.2">
      <c r="A384" s="6">
        <v>1006</v>
      </c>
      <c r="B384" s="6" t="s">
        <v>89</v>
      </c>
      <c r="C384" s="7">
        <v>10</v>
      </c>
      <c r="D384" s="8">
        <v>1</v>
      </c>
      <c r="E384" s="8">
        <v>52</v>
      </c>
      <c r="F384" s="9">
        <f t="shared" si="86"/>
        <v>52</v>
      </c>
      <c r="G384" s="10">
        <f>IF(H384=500,IF(ISERROR(0/C384/D384/E384/I384/J384/K384),"VOID",ROUND(2*(I384+J384+K384)-IF(C384&lt;20,6.25*C384,8.75*C384),-1)),"FALSE")</f>
        <v>1150</v>
      </c>
      <c r="H384" s="11">
        <v>500</v>
      </c>
      <c r="I384" s="36">
        <v>175</v>
      </c>
      <c r="J384" s="36">
        <v>300</v>
      </c>
      <c r="K384" s="36">
        <f>CEILING(MAX(C384*13,),5)</f>
        <v>130</v>
      </c>
      <c r="L384" s="38"/>
      <c r="M384" s="8"/>
      <c r="N384" s="37"/>
      <c r="O384" s="8"/>
      <c r="P384" s="8"/>
      <c r="Q384" s="8"/>
      <c r="R384" s="8"/>
      <c r="S384" s="69"/>
      <c r="T384" s="34">
        <f>IF(C384="","",ROUND(CHOOSE(MATCH(C384,{5,6,7,8,10,12,14,16,18,20,22,25,28,32,40},0),0.154,0.222,0.302,0.395,0.617,0.888,1.209,1.579,1.998,2.467,2.985,3.855,4.836,6.316,9.868)*D384*E384*G384/1000,3))</f>
        <v>36.896999999999998</v>
      </c>
    </row>
    <row r="385" spans="1:20" ht="26.25" customHeight="1" x14ac:dyDescent="0.2">
      <c r="A385" s="6">
        <v>16131</v>
      </c>
      <c r="B385" s="6" t="s">
        <v>90</v>
      </c>
      <c r="C385" s="7">
        <v>16</v>
      </c>
      <c r="D385" s="8">
        <v>1</v>
      </c>
      <c r="E385" s="8">
        <v>2</v>
      </c>
      <c r="F385" s="9">
        <f t="shared" si="86"/>
        <v>2</v>
      </c>
      <c r="G385" s="10">
        <f>IF(H385=310,IF(ISERROR(0/C385/D385/E385/I385/J385/K385/M385),"VOID",ROUND(I385+J385+K385+M385-IF(C385&lt;20,1.25*C385,1.75*C385),-1)),"FALSE")</f>
        <v>4830</v>
      </c>
      <c r="H385" s="11">
        <v>310</v>
      </c>
      <c r="I385" s="36">
        <v>500</v>
      </c>
      <c r="J385" s="36">
        <v>300</v>
      </c>
      <c r="K385" s="36">
        <v>3900</v>
      </c>
      <c r="L385" s="38">
        <v>50</v>
      </c>
      <c r="M385" s="8">
        <v>150</v>
      </c>
      <c r="N385" s="37"/>
      <c r="O385" s="8"/>
      <c r="P385" s="8"/>
      <c r="Q385" s="8"/>
      <c r="R385" s="8"/>
      <c r="S385" s="33"/>
      <c r="T385" s="34">
        <f>IF(C385="","",ROUND(CHOOSE(MATCH(C385,{5,6,7,8,10,12,14,16,18,20,22,25,28,32,40},0),0.154,0.222,0.302,0.395,0.617,0.888,1.209,1.579,1.998,2.467,2.985,3.855,4.836,6.316,9.868)*D385*E385*G385/1000,3))</f>
        <v>15.253</v>
      </c>
    </row>
    <row r="386" spans="1:20" ht="26.25" customHeight="1" x14ac:dyDescent="0.2">
      <c r="A386" s="6">
        <v>20132</v>
      </c>
      <c r="B386" s="6" t="s">
        <v>90</v>
      </c>
      <c r="C386" s="7">
        <v>20</v>
      </c>
      <c r="D386" s="8">
        <v>1</v>
      </c>
      <c r="E386" s="8">
        <v>4</v>
      </c>
      <c r="F386" s="9">
        <f t="shared" si="86"/>
        <v>4</v>
      </c>
      <c r="G386" s="10">
        <f>IF(H386=100,IF(ISERROR(0/C386/D386/E386/I386),"VOID",ROUND(I386,-1)),"FALSE")</f>
        <v>2300</v>
      </c>
      <c r="H386" s="11">
        <v>100</v>
      </c>
      <c r="I386" s="36">
        <v>2300</v>
      </c>
      <c r="J386" s="36"/>
      <c r="K386" s="36"/>
      <c r="L386" s="38"/>
      <c r="M386" s="8"/>
      <c r="N386" s="37"/>
      <c r="O386" s="8"/>
      <c r="P386" s="8"/>
      <c r="Q386" s="8"/>
      <c r="R386" s="8"/>
      <c r="S386" s="69"/>
      <c r="T386" s="34">
        <f>IF(C386="","",ROUND(CHOOSE(MATCH(C386,{5,6,7,8,10,12,14,16,18,20,22,25,28,32,40},0),0.154,0.222,0.302,0.395,0.617,0.888,1.209,1.579,1.998,2.467,2.985,3.855,4.836,6.316,9.868)*D386*E386*G386/1000,3))</f>
        <v>22.696000000000002</v>
      </c>
    </row>
    <row r="387" spans="1:20" ht="26.25" customHeight="1" x14ac:dyDescent="0.2">
      <c r="A387" s="6">
        <v>16133</v>
      </c>
      <c r="B387" s="6" t="s">
        <v>90</v>
      </c>
      <c r="C387" s="7">
        <v>16</v>
      </c>
      <c r="D387" s="8">
        <v>1</v>
      </c>
      <c r="E387" s="8">
        <v>2</v>
      </c>
      <c r="F387" s="9">
        <f t="shared" si="86"/>
        <v>2</v>
      </c>
      <c r="G387" s="10">
        <f>IF(H387=483,IF(ISERROR(0/C387/D387/E387/I387/J387/K387/M387),"VOID",ROUND(I387+2*J387+K387+M387,-1)),"FALSE")</f>
        <v>3430</v>
      </c>
      <c r="H387" s="11">
        <v>483</v>
      </c>
      <c r="I387" s="36">
        <v>500</v>
      </c>
      <c r="J387" s="36">
        <v>300</v>
      </c>
      <c r="K387" s="36">
        <v>1825</v>
      </c>
      <c r="L387" s="38">
        <v>50</v>
      </c>
      <c r="M387" s="8">
        <v>500</v>
      </c>
      <c r="N387" s="37"/>
      <c r="O387" s="8"/>
      <c r="P387" s="8"/>
      <c r="Q387" s="8"/>
      <c r="R387" s="8"/>
      <c r="S387" s="33"/>
      <c r="T387" s="34">
        <f>IF(C387="","",ROUND(CHOOSE(MATCH(C387,{5,6,7,8,10,12,14,16,18,20,22,25,28,32,40},0),0.154,0.222,0.302,0.395,0.617,0.888,1.209,1.579,1.998,2.467,2.985,3.855,4.836,6.316,9.868)*D387*E387*G387/1000,3))</f>
        <v>10.832000000000001</v>
      </c>
    </row>
    <row r="388" spans="1:20" ht="26.25" customHeight="1" x14ac:dyDescent="0.2">
      <c r="A388" s="6">
        <v>16135</v>
      </c>
      <c r="B388" s="6" t="s">
        <v>90</v>
      </c>
      <c r="C388" s="7">
        <v>16</v>
      </c>
      <c r="D388" s="8">
        <v>1</v>
      </c>
      <c r="E388" s="8">
        <v>2</v>
      </c>
      <c r="F388" s="9">
        <f t="shared" si="86"/>
        <v>2</v>
      </c>
      <c r="G388" s="10">
        <f>IF(H388=310,IF(ISERROR(0/C388/D388/E388/I388/J388/K388/M388),"VOID",ROUND(I388+J388+K388+M388-IF(C388&lt;20,1.25*C388,1.75*C388),-1)),"FALSE")</f>
        <v>4580</v>
      </c>
      <c r="H388" s="11">
        <v>310</v>
      </c>
      <c r="I388" s="36">
        <v>500</v>
      </c>
      <c r="J388" s="36">
        <v>300</v>
      </c>
      <c r="K388" s="55">
        <v>3650</v>
      </c>
      <c r="L388" s="57">
        <v>50</v>
      </c>
      <c r="M388" s="50">
        <v>150</v>
      </c>
      <c r="N388" s="37"/>
      <c r="O388" s="8"/>
      <c r="P388" s="8"/>
      <c r="Q388" s="8"/>
      <c r="R388" s="8"/>
      <c r="S388" s="33"/>
      <c r="T388" s="34">
        <f>IF(C388="","",ROUND(CHOOSE(MATCH(C388,{5,6,7,8,10,12,14,16,18,20,22,25,28,32,40},0),0.154,0.222,0.302,0.395,0.617,0.888,1.209,1.579,1.998,2.467,2.985,3.855,4.836,6.316,9.868)*D388*E388*G388/1000,3))</f>
        <v>14.464</v>
      </c>
    </row>
    <row r="389" spans="1:20" ht="26.25" customHeight="1" x14ac:dyDescent="0.2">
      <c r="A389" s="6">
        <v>20136</v>
      </c>
      <c r="B389" s="6" t="s">
        <v>90</v>
      </c>
      <c r="C389" s="7">
        <v>20</v>
      </c>
      <c r="D389" s="8">
        <v>1</v>
      </c>
      <c r="E389" s="8">
        <v>4</v>
      </c>
      <c r="F389" s="9">
        <f t="shared" si="86"/>
        <v>4</v>
      </c>
      <c r="G389" s="10">
        <f>IF(H389=111,IF(ISERROR(0/C389/D389/E389/I389/J389),"VOID",ROUND(I389+J389-IF(C389&lt;20,1.25*C389,1.75*C389),-1)),"FALSE")</f>
        <v>5320</v>
      </c>
      <c r="H389" s="11">
        <v>111</v>
      </c>
      <c r="I389" s="36">
        <v>150</v>
      </c>
      <c r="J389" s="36">
        <v>5200</v>
      </c>
      <c r="K389" s="36"/>
      <c r="L389" s="38"/>
      <c r="M389" s="8"/>
      <c r="N389" s="37"/>
      <c r="O389" s="8"/>
      <c r="P389" s="8"/>
      <c r="Q389" s="8"/>
      <c r="R389" s="8"/>
      <c r="S389" s="69"/>
      <c r="T389" s="34">
        <f>IF(C389="","",ROUND(CHOOSE(MATCH(C389,{5,6,7,8,10,12,14,16,18,20,22,25,28,32,40},0),0.154,0.222,0.302,0.395,0.617,0.888,1.209,1.579,1.998,2.467,2.985,3.855,4.836,6.316,9.868)*D389*E389*G389/1000,3))</f>
        <v>52.497999999999998</v>
      </c>
    </row>
    <row r="390" spans="1:20" ht="26.25" customHeight="1" x14ac:dyDescent="0.2">
      <c r="A390" s="6">
        <v>16137</v>
      </c>
      <c r="B390" s="6" t="s">
        <v>90</v>
      </c>
      <c r="C390" s="7">
        <v>16</v>
      </c>
      <c r="D390" s="8">
        <v>1</v>
      </c>
      <c r="E390" s="8">
        <v>3</v>
      </c>
      <c r="F390" s="9">
        <f t="shared" si="86"/>
        <v>3</v>
      </c>
      <c r="G390" s="10">
        <f>IF(H390=310,IF(ISERROR(0/C390/D390/E390/I390/J390/K390/M390),"VOID",ROUND(I390+J390+K390+M390-IF(C390&lt;20,1.25*C390,1.75*C390),-1)),"FALSE")</f>
        <v>9710</v>
      </c>
      <c r="H390" s="11">
        <v>310</v>
      </c>
      <c r="I390" s="36">
        <v>500</v>
      </c>
      <c r="J390" s="36">
        <v>300</v>
      </c>
      <c r="K390" s="36">
        <v>8775</v>
      </c>
      <c r="L390" s="57">
        <v>50</v>
      </c>
      <c r="M390" s="50">
        <v>150</v>
      </c>
      <c r="N390" s="37"/>
      <c r="O390" s="8"/>
      <c r="P390" s="8"/>
      <c r="Q390" s="8"/>
      <c r="R390" s="8"/>
      <c r="S390" s="33"/>
      <c r="T390" s="34">
        <f>IF(C390="","",ROUND(CHOOSE(MATCH(C390,{5,6,7,8,10,12,14,16,18,20,22,25,28,32,40},0),0.154,0.222,0.302,0.395,0.617,0.888,1.209,1.579,1.998,2.467,2.985,3.855,4.836,6.316,9.868)*D390*E390*G390/1000,3))</f>
        <v>45.996000000000002</v>
      </c>
    </row>
    <row r="391" spans="1:20" ht="54.75" customHeight="1" x14ac:dyDescent="0.2">
      <c r="A391" s="6">
        <v>1006</v>
      </c>
      <c r="B391" s="6" t="s">
        <v>90</v>
      </c>
      <c r="C391" s="7">
        <v>10</v>
      </c>
      <c r="D391" s="8">
        <v>1</v>
      </c>
      <c r="E391" s="8">
        <v>56</v>
      </c>
      <c r="F391" s="9">
        <f t="shared" si="86"/>
        <v>56</v>
      </c>
      <c r="G391" s="10">
        <f>IF(H391=500,IF(ISERROR(0/C391/D391/E391/I391/J391/K391),"VOID",ROUND(2*(I391+J391+K391)-IF(C391&lt;20,6.25*C391,8.75*C391),-1)),"FALSE")</f>
        <v>1150</v>
      </c>
      <c r="H391" s="11">
        <v>500</v>
      </c>
      <c r="I391" s="36">
        <v>175</v>
      </c>
      <c r="J391" s="36">
        <v>300</v>
      </c>
      <c r="K391" s="36">
        <f>CEILING(MAX(C391*13,),5)</f>
        <v>130</v>
      </c>
      <c r="L391" s="38"/>
      <c r="M391" s="8"/>
      <c r="N391" s="37"/>
      <c r="O391" s="8"/>
      <c r="P391" s="8"/>
      <c r="Q391" s="8"/>
      <c r="R391" s="8"/>
      <c r="S391" s="69"/>
      <c r="T391" s="34">
        <f>IF(C391="","",ROUND(CHOOSE(MATCH(C391,{5,6,7,8,10,12,14,16,18,20,22,25,28,32,40},0),0.154,0.222,0.302,0.395,0.617,0.888,1.209,1.579,1.998,2.467,2.985,3.855,4.836,6.316,9.868)*D391*E391*G391/1000,3))</f>
        <v>39.734999999999999</v>
      </c>
    </row>
    <row r="392" spans="1:20" ht="26.25" customHeight="1" x14ac:dyDescent="0.2">
      <c r="A392" s="6">
        <v>16138</v>
      </c>
      <c r="B392" s="6" t="s">
        <v>91</v>
      </c>
      <c r="C392" s="7">
        <v>16</v>
      </c>
      <c r="D392" s="8">
        <v>1</v>
      </c>
      <c r="E392" s="8">
        <v>2</v>
      </c>
      <c r="F392" s="9">
        <f t="shared" si="86"/>
        <v>2</v>
      </c>
      <c r="G392" s="10">
        <f>IF(H392=310,IF(ISERROR(0/C392/D392/E392/I392/J392/K392/M392),"VOID",ROUND(I392+J392+K392+M392-IF(C392&lt;20,1.25*C392,1.75*C392),-1)),"FALSE")</f>
        <v>5230</v>
      </c>
      <c r="H392" s="11">
        <v>310</v>
      </c>
      <c r="I392" s="36">
        <v>500</v>
      </c>
      <c r="J392" s="55">
        <v>300</v>
      </c>
      <c r="K392" s="50">
        <v>4300</v>
      </c>
      <c r="L392" s="71">
        <v>50</v>
      </c>
      <c r="M392" s="50">
        <v>150</v>
      </c>
      <c r="N392" s="37"/>
      <c r="O392" s="8"/>
      <c r="P392" s="8"/>
      <c r="Q392" s="8"/>
      <c r="R392" s="8"/>
      <c r="S392" s="33"/>
      <c r="T392" s="34">
        <f>IF(C392="","",ROUND(CHOOSE(MATCH(C392,{5,6,7,8,10,12,14,16,18,20,22,25,28,32,40},0),0.154,0.222,0.302,0.395,0.617,0.888,1.209,1.579,1.998,2.467,2.985,3.855,4.836,6.316,9.868)*D392*E392*G392/1000,3))</f>
        <v>16.515999999999998</v>
      </c>
    </row>
    <row r="393" spans="1:20" ht="26.25" customHeight="1" x14ac:dyDescent="0.2">
      <c r="A393" s="6">
        <v>16139</v>
      </c>
      <c r="B393" s="6" t="s">
        <v>91</v>
      </c>
      <c r="C393" s="7">
        <v>16</v>
      </c>
      <c r="D393" s="8">
        <v>1</v>
      </c>
      <c r="E393" s="8">
        <v>3</v>
      </c>
      <c r="F393" s="9">
        <f t="shared" si="86"/>
        <v>3</v>
      </c>
      <c r="G393" s="10">
        <f>IF(H393=100,IF(ISERROR(0/C393/D393/E393/I393),"VOID",ROUND(I393,-1)),"FALSE")</f>
        <v>2500</v>
      </c>
      <c r="H393" s="11">
        <v>100</v>
      </c>
      <c r="I393" s="36">
        <v>2500</v>
      </c>
      <c r="J393" s="36"/>
      <c r="K393" s="36"/>
      <c r="L393" s="38"/>
      <c r="M393" s="8"/>
      <c r="N393" s="37"/>
      <c r="O393" s="8"/>
      <c r="P393" s="8"/>
      <c r="Q393" s="8"/>
      <c r="R393" s="8"/>
      <c r="S393" s="69"/>
      <c r="T393" s="34">
        <f>IF(C393="","",ROUND(CHOOSE(MATCH(C393,{5,6,7,8,10,12,14,16,18,20,22,25,28,32,40},0),0.154,0.222,0.302,0.395,0.617,0.888,1.209,1.579,1.998,2.467,2.985,3.855,4.836,6.316,9.868)*D393*E393*G393/1000,3))</f>
        <v>11.843</v>
      </c>
    </row>
    <row r="394" spans="1:20" ht="26.25" customHeight="1" x14ac:dyDescent="0.2">
      <c r="A394" s="6">
        <v>16140</v>
      </c>
      <c r="B394" s="6" t="s">
        <v>91</v>
      </c>
      <c r="C394" s="7">
        <v>16</v>
      </c>
      <c r="D394" s="8">
        <v>1</v>
      </c>
      <c r="E394" s="8">
        <v>2</v>
      </c>
      <c r="F394" s="9">
        <f t="shared" si="86"/>
        <v>2</v>
      </c>
      <c r="G394" s="10">
        <f>IF(H394=310,IF(ISERROR(0/C394/D394/E394/I394/J394/K394/M394),"VOID",ROUND(I394+J394+K394+M394-IF(C394&lt;20,1.25*C394,1.75*C394),-1)),"FALSE")</f>
        <v>6910</v>
      </c>
      <c r="H394" s="11">
        <v>310</v>
      </c>
      <c r="I394" s="36">
        <v>500</v>
      </c>
      <c r="J394" s="36">
        <v>300</v>
      </c>
      <c r="K394" s="36">
        <v>5975</v>
      </c>
      <c r="L394" s="38">
        <v>50</v>
      </c>
      <c r="M394" s="8">
        <v>150</v>
      </c>
      <c r="N394" s="37"/>
      <c r="O394" s="8"/>
      <c r="P394" s="8"/>
      <c r="Q394" s="8"/>
      <c r="R394" s="8"/>
      <c r="S394" s="33"/>
      <c r="T394" s="34">
        <f>IF(C394="","",ROUND(CHOOSE(MATCH(C394,{5,6,7,8,10,12,14,16,18,20,22,25,28,32,40},0),0.154,0.222,0.302,0.395,0.617,0.888,1.209,1.579,1.998,2.467,2.985,3.855,4.836,6.316,9.868)*D394*E394*G394/1000,3))</f>
        <v>21.821999999999999</v>
      </c>
    </row>
    <row r="395" spans="1:20" ht="26.25" customHeight="1" x14ac:dyDescent="0.2">
      <c r="A395" s="6">
        <v>16141</v>
      </c>
      <c r="B395" s="6" t="s">
        <v>91</v>
      </c>
      <c r="C395" s="7">
        <v>16</v>
      </c>
      <c r="D395" s="8">
        <v>1</v>
      </c>
      <c r="E395" s="8">
        <v>3</v>
      </c>
      <c r="F395" s="9">
        <f t="shared" si="86"/>
        <v>3</v>
      </c>
      <c r="G395" s="10">
        <f>IF(H395=111,IF(ISERROR(0/C395/D395/E395/I395/J395),"VOID",ROUND(I395+J395-IF(C395&lt;20,1.25*C395,1.75*C395),-1)),"FALSE")</f>
        <v>5930</v>
      </c>
      <c r="H395" s="11">
        <v>111</v>
      </c>
      <c r="I395" s="36">
        <v>150</v>
      </c>
      <c r="J395" s="36">
        <v>5800</v>
      </c>
      <c r="K395" s="36"/>
      <c r="L395" s="38"/>
      <c r="M395" s="8"/>
      <c r="N395" s="37"/>
      <c r="O395" s="8"/>
      <c r="P395" s="8"/>
      <c r="Q395" s="8"/>
      <c r="R395" s="8"/>
      <c r="S395" s="69"/>
      <c r="T395" s="34">
        <f>IF(C395="","",ROUND(CHOOSE(MATCH(C395,{5,6,7,8,10,12,14,16,18,20,22,25,28,32,40},0),0.154,0.222,0.302,0.395,0.617,0.888,1.209,1.579,1.998,2.467,2.985,3.855,4.836,6.316,9.868)*D395*E395*G395/1000,3))</f>
        <v>28.09</v>
      </c>
    </row>
    <row r="396" spans="1:20" ht="26.25" customHeight="1" x14ac:dyDescent="0.2">
      <c r="A396" s="6">
        <v>16142</v>
      </c>
      <c r="B396" s="6" t="s">
        <v>91</v>
      </c>
      <c r="C396" s="7">
        <v>16</v>
      </c>
      <c r="D396" s="8">
        <v>1</v>
      </c>
      <c r="E396" s="8">
        <v>3</v>
      </c>
      <c r="F396" s="9">
        <f t="shared" si="86"/>
        <v>3</v>
      </c>
      <c r="G396" s="10">
        <f>IF(H396=310,IF(ISERROR(0/C396/D396/E396/I396/J396/K396/M396),"VOID",ROUND(I396+J396+K396+M396-IF(C396&lt;20,1.25*C396,1.75*C396),-1)),"FALSE")</f>
        <v>8510</v>
      </c>
      <c r="H396" s="11">
        <v>310</v>
      </c>
      <c r="I396" s="36">
        <v>500</v>
      </c>
      <c r="J396" s="36">
        <v>300</v>
      </c>
      <c r="K396" s="36">
        <v>7575</v>
      </c>
      <c r="L396" s="38">
        <v>50</v>
      </c>
      <c r="M396" s="8">
        <v>150</v>
      </c>
      <c r="N396" s="37"/>
      <c r="O396" s="8"/>
      <c r="P396" s="8"/>
      <c r="Q396" s="8"/>
      <c r="R396" s="8"/>
      <c r="S396" s="33"/>
      <c r="T396" s="34">
        <f>IF(C396="","",ROUND(CHOOSE(MATCH(C396,{5,6,7,8,10,12,14,16,18,20,22,25,28,32,40},0),0.154,0.222,0.302,0.395,0.617,0.888,1.209,1.579,1.998,2.467,2.985,3.855,4.836,6.316,9.868)*D396*E396*G396/1000,3))</f>
        <v>40.311999999999998</v>
      </c>
    </row>
    <row r="397" spans="1:20" ht="26.25" customHeight="1" x14ac:dyDescent="0.2">
      <c r="A397" s="6">
        <v>16138</v>
      </c>
      <c r="B397" s="6" t="s">
        <v>92</v>
      </c>
      <c r="C397" s="7">
        <v>16</v>
      </c>
      <c r="D397" s="8">
        <v>1</v>
      </c>
      <c r="E397" s="8">
        <v>2</v>
      </c>
      <c r="F397" s="9">
        <f t="shared" si="86"/>
        <v>2</v>
      </c>
      <c r="G397" s="10">
        <f>IF(H397=310,IF(ISERROR(0/C397/D397/E397/I397/J397/K397/M397),"VOID",ROUND(I397+J397+K397+M397-IF(C397&lt;20,1.25*C397,1.75*C397),-1)),"FALSE")</f>
        <v>5230</v>
      </c>
      <c r="H397" s="11">
        <v>310</v>
      </c>
      <c r="I397" s="36">
        <v>500</v>
      </c>
      <c r="J397" s="36">
        <v>300</v>
      </c>
      <c r="K397" s="36">
        <v>4300</v>
      </c>
      <c r="L397" s="38">
        <v>50</v>
      </c>
      <c r="M397" s="8">
        <v>150</v>
      </c>
      <c r="N397" s="37"/>
      <c r="O397" s="8"/>
      <c r="P397" s="8"/>
      <c r="Q397" s="8"/>
      <c r="R397" s="8"/>
      <c r="S397" s="33"/>
      <c r="T397" s="34">
        <f>IF(C397="","",ROUND(CHOOSE(MATCH(C397,{5,6,7,8,10,12,14,16,18,20,22,25,28,32,40},0),0.154,0.222,0.302,0.395,0.617,0.888,1.209,1.579,1.998,2.467,2.985,3.855,4.836,6.316,9.868)*D397*E397*G397/1000,3))</f>
        <v>16.515999999999998</v>
      </c>
    </row>
    <row r="398" spans="1:20" ht="26.25" customHeight="1" x14ac:dyDescent="0.2">
      <c r="A398" s="6">
        <v>20143</v>
      </c>
      <c r="B398" s="6" t="s">
        <v>92</v>
      </c>
      <c r="C398" s="7">
        <v>20</v>
      </c>
      <c r="D398" s="8">
        <v>1</v>
      </c>
      <c r="E398" s="8">
        <v>5</v>
      </c>
      <c r="F398" s="9">
        <f t="shared" si="86"/>
        <v>5</v>
      </c>
      <c r="G398" s="10">
        <f>IF(H398=100,IF(ISERROR(0/C398/D398/E398/I398),"VOID",ROUND(I398,-1)),"FALSE")</f>
        <v>2500</v>
      </c>
      <c r="H398" s="11">
        <v>100</v>
      </c>
      <c r="I398" s="36">
        <v>2500</v>
      </c>
      <c r="J398" s="36"/>
      <c r="K398" s="36"/>
      <c r="L398" s="38"/>
      <c r="M398" s="8"/>
      <c r="N398" s="37"/>
      <c r="O398" s="8"/>
      <c r="P398" s="8"/>
      <c r="Q398" s="8"/>
      <c r="R398" s="8"/>
      <c r="S398" s="69"/>
      <c r="T398" s="34">
        <f>IF(C398="","",ROUND(CHOOSE(MATCH(C398,{5,6,7,8,10,12,14,16,18,20,22,25,28,32,40},0),0.154,0.222,0.302,0.395,0.617,0.888,1.209,1.579,1.998,2.467,2.985,3.855,4.836,6.316,9.868)*D398*E398*G398/1000,3))</f>
        <v>30.838000000000001</v>
      </c>
    </row>
    <row r="399" spans="1:20" ht="26.25" customHeight="1" x14ac:dyDescent="0.2">
      <c r="A399" s="6">
        <v>16144</v>
      </c>
      <c r="B399" s="6" t="s">
        <v>92</v>
      </c>
      <c r="C399" s="7">
        <v>16</v>
      </c>
      <c r="D399" s="8">
        <v>2</v>
      </c>
      <c r="E399" s="8">
        <v>2</v>
      </c>
      <c r="F399" s="9">
        <f t="shared" si="86"/>
        <v>4</v>
      </c>
      <c r="G399" s="10">
        <f>IF(H399=483,IF(ISERROR(0/C399/D399/E399/I399/J399/K399/M399),"VOID",ROUND(I399+2*J399+K399+M399,-1)),"FALSE")</f>
        <v>4860</v>
      </c>
      <c r="H399" s="11">
        <v>483</v>
      </c>
      <c r="I399" s="36">
        <v>500</v>
      </c>
      <c r="J399" s="55">
        <v>300</v>
      </c>
      <c r="K399" s="55">
        <v>3255</v>
      </c>
      <c r="L399" s="57">
        <v>50</v>
      </c>
      <c r="M399" s="50">
        <v>500</v>
      </c>
      <c r="N399" s="37"/>
      <c r="O399" s="8"/>
      <c r="P399" s="8"/>
      <c r="Q399" s="8"/>
      <c r="R399" s="8"/>
      <c r="S399" s="33"/>
      <c r="T399" s="34">
        <f>IF(C399="","",ROUND(CHOOSE(MATCH(C399,{5,6,7,8,10,12,14,16,18,20,22,25,28,32,40},0),0.154,0.222,0.302,0.395,0.617,0.888,1.209,1.579,1.998,2.467,2.985,3.855,4.836,6.316,9.868)*D399*E399*G399/1000,3))</f>
        <v>30.696000000000002</v>
      </c>
    </row>
    <row r="400" spans="1:20" ht="54.75" customHeight="1" x14ac:dyDescent="0.2">
      <c r="A400" s="6">
        <v>16145</v>
      </c>
      <c r="B400" s="6" t="s">
        <v>92</v>
      </c>
      <c r="C400" s="7">
        <v>16</v>
      </c>
      <c r="D400" s="8">
        <v>1</v>
      </c>
      <c r="E400" s="8">
        <v>3</v>
      </c>
      <c r="F400" s="9">
        <f t="shared" si="86"/>
        <v>3</v>
      </c>
      <c r="G400" s="10">
        <f>IF(H400=100,IF(ISERROR(0/C400/D400/E400/I400),"VOID",ROUND(I400,-1)),"FALSE")</f>
        <v>2000</v>
      </c>
      <c r="H400" s="11">
        <v>100</v>
      </c>
      <c r="I400" s="36">
        <v>2000</v>
      </c>
      <c r="J400" s="36"/>
      <c r="K400" s="36"/>
      <c r="L400" s="38"/>
      <c r="M400" s="8"/>
      <c r="N400" s="37"/>
      <c r="O400" s="8"/>
      <c r="P400" s="8"/>
      <c r="Q400" s="8"/>
      <c r="R400" s="8"/>
      <c r="S400" s="69"/>
      <c r="T400" s="34">
        <f>IF(C400="","",ROUND(CHOOSE(MATCH(C400,{5,6,7,8,10,12,14,16,18,20,22,25,28,32,40},0),0.154,0.222,0.302,0.395,0.617,0.888,1.209,1.579,1.998,2.467,2.985,3.855,4.836,6.316,9.868)*D400*E400*G400/1000,3))</f>
        <v>9.4740000000000002</v>
      </c>
    </row>
    <row r="401" spans="1:20" ht="26.25" customHeight="1" x14ac:dyDescent="0.2">
      <c r="A401" s="6">
        <v>16146</v>
      </c>
      <c r="B401" s="6" t="s">
        <v>92</v>
      </c>
      <c r="C401" s="7">
        <v>16</v>
      </c>
      <c r="D401" s="8">
        <v>1</v>
      </c>
      <c r="E401" s="8">
        <v>2</v>
      </c>
      <c r="F401" s="9">
        <f t="shared" si="86"/>
        <v>2</v>
      </c>
      <c r="G401" s="10">
        <f>IF(H401=310,IF(ISERROR(0/C401/D401/E401/I401/J401/K401/M401),"VOID",ROUND(I401+J401+K401+M401-IF(C401&lt;20,1.25*C401,1.75*C401),-1)),"FALSE")</f>
        <v>4680</v>
      </c>
      <c r="H401" s="11">
        <v>310</v>
      </c>
      <c r="I401" s="36">
        <v>500</v>
      </c>
      <c r="J401" s="36">
        <v>300</v>
      </c>
      <c r="K401" s="55">
        <v>3750</v>
      </c>
      <c r="L401" s="57">
        <v>50</v>
      </c>
      <c r="M401" s="50">
        <v>150</v>
      </c>
      <c r="N401" s="37"/>
      <c r="O401" s="8"/>
      <c r="P401" s="8"/>
      <c r="Q401" s="8"/>
      <c r="R401" s="8"/>
      <c r="S401" s="33"/>
      <c r="T401" s="34">
        <f>IF(C401="","",ROUND(CHOOSE(MATCH(C401,{5,6,7,8,10,12,14,16,18,20,22,25,28,32,40},0),0.154,0.222,0.302,0.395,0.617,0.888,1.209,1.579,1.998,2.467,2.985,3.855,4.836,6.316,9.868)*D401*E401*G401/1000,3))</f>
        <v>14.779</v>
      </c>
    </row>
    <row r="402" spans="1:20" ht="26.25" customHeight="1" x14ac:dyDescent="0.2">
      <c r="A402" s="6">
        <v>20147</v>
      </c>
      <c r="B402" s="6" t="s">
        <v>92</v>
      </c>
      <c r="C402" s="7">
        <v>20</v>
      </c>
      <c r="D402" s="8">
        <v>1</v>
      </c>
      <c r="E402" s="8">
        <v>4</v>
      </c>
      <c r="F402" s="9">
        <f t="shared" si="86"/>
        <v>4</v>
      </c>
      <c r="G402" s="10">
        <f>IF(H402=111,IF(ISERROR(0/C402/D402/E402/I402/J402),"VOID",ROUND(I402+J402-IF(C402&lt;20,1.25*C402,1.75*C402),-1)),"FALSE")</f>
        <v>5920</v>
      </c>
      <c r="H402" s="11">
        <v>111</v>
      </c>
      <c r="I402" s="36">
        <v>150</v>
      </c>
      <c r="J402" s="36">
        <v>5800</v>
      </c>
      <c r="K402" s="36"/>
      <c r="L402" s="38"/>
      <c r="M402" s="8"/>
      <c r="N402" s="37"/>
      <c r="O402" s="8"/>
      <c r="P402" s="8"/>
      <c r="Q402" s="8"/>
      <c r="R402" s="8"/>
      <c r="S402" s="69"/>
      <c r="T402" s="34">
        <f>IF(C402="","",ROUND(CHOOSE(MATCH(C402,{5,6,7,8,10,12,14,16,18,20,22,25,28,32,40},0),0.154,0.222,0.302,0.395,0.617,0.888,1.209,1.579,1.998,2.467,2.985,3.855,4.836,6.316,9.868)*D402*E402*G402/1000,3))</f>
        <v>58.418999999999997</v>
      </c>
    </row>
    <row r="403" spans="1:20" ht="26.25" customHeight="1" x14ac:dyDescent="0.2">
      <c r="A403" s="6">
        <v>16148</v>
      </c>
      <c r="B403" s="6" t="s">
        <v>92</v>
      </c>
      <c r="C403" s="7">
        <v>16</v>
      </c>
      <c r="D403" s="8">
        <v>1</v>
      </c>
      <c r="E403" s="8">
        <v>2</v>
      </c>
      <c r="F403" s="9">
        <f t="shared" si="86"/>
        <v>2</v>
      </c>
      <c r="G403" s="10">
        <f>IF(H403=222,IF(ISERROR(0/C403/D403/E403/I403/J403/K403),"VOID",ROUND(I403+J403+K403,-1)),"FALSE")</f>
        <v>4030</v>
      </c>
      <c r="H403" s="11">
        <v>222</v>
      </c>
      <c r="I403" s="36">
        <v>500</v>
      </c>
      <c r="J403" s="36">
        <v>300</v>
      </c>
      <c r="K403" s="36">
        <v>3225</v>
      </c>
      <c r="L403" s="38">
        <v>50</v>
      </c>
      <c r="M403" s="8"/>
      <c r="N403" s="37"/>
      <c r="O403" s="8"/>
      <c r="P403" s="8"/>
      <c r="Q403" s="8"/>
      <c r="R403" s="8"/>
      <c r="S403" s="33"/>
      <c r="T403" s="34">
        <f>IF(C403="","",ROUND(CHOOSE(MATCH(C403,{5,6,7,8,10,12,14,16,18,20,22,25,28,32,40},0),0.154,0.222,0.302,0.395,0.617,0.888,1.209,1.579,1.998,2.467,2.985,3.855,4.836,6.316,9.868)*D403*E403*G403/1000,3))</f>
        <v>12.727</v>
      </c>
    </row>
    <row r="404" spans="1:20" ht="26.25" customHeight="1" x14ac:dyDescent="0.2">
      <c r="A404" s="6">
        <v>16149</v>
      </c>
      <c r="B404" s="6" t="s">
        <v>92</v>
      </c>
      <c r="C404" s="7">
        <v>16</v>
      </c>
      <c r="D404" s="8">
        <v>1</v>
      </c>
      <c r="E404" s="8">
        <v>3</v>
      </c>
      <c r="F404" s="9">
        <f t="shared" si="86"/>
        <v>3</v>
      </c>
      <c r="G404" s="10">
        <f>IF(H404=310,IF(ISERROR(0/C404/D404/E404/I404/J404/K404/M404),"VOID",ROUND(I404+J404+K404+M404-IF(C404&lt;20,1.25*C404,1.75*C404),-1)),"FALSE")</f>
        <v>4680</v>
      </c>
      <c r="H404" s="11">
        <v>310</v>
      </c>
      <c r="I404" s="36">
        <v>500</v>
      </c>
      <c r="J404" s="36">
        <v>300</v>
      </c>
      <c r="K404" s="36">
        <v>3750</v>
      </c>
      <c r="L404" s="38">
        <v>50</v>
      </c>
      <c r="M404" s="8">
        <v>150</v>
      </c>
      <c r="N404" s="37"/>
      <c r="O404" s="8"/>
      <c r="P404" s="8"/>
      <c r="Q404" s="8"/>
      <c r="R404" s="8"/>
      <c r="S404" s="33"/>
      <c r="T404" s="34">
        <f>IF(C404="","",ROUND(CHOOSE(MATCH(C404,{5,6,7,8,10,12,14,16,18,20,22,25,28,32,40},0),0.154,0.222,0.302,0.395,0.617,0.888,1.209,1.579,1.998,2.467,2.985,3.855,4.836,6.316,9.868)*D404*E404*G404/1000,3))</f>
        <v>22.169</v>
      </c>
    </row>
    <row r="405" spans="1:20" ht="26.25" customHeight="1" x14ac:dyDescent="0.2">
      <c r="A405" s="6">
        <v>1006</v>
      </c>
      <c r="B405" s="6" t="s">
        <v>92</v>
      </c>
      <c r="C405" s="7">
        <v>16</v>
      </c>
      <c r="D405" s="8">
        <v>1</v>
      </c>
      <c r="E405" s="8">
        <v>59</v>
      </c>
      <c r="F405" s="9">
        <f t="shared" si="86"/>
        <v>59</v>
      </c>
      <c r="G405" s="10">
        <f>IF(H405=500,IF(ISERROR(0/C405/D405/E405/I405/J405/K405),"VOID",ROUND(2*(I405+J405+K405)-IF(C405&lt;20,6.25*C405,8.75*C405),-1)),"FALSE")</f>
        <v>1110</v>
      </c>
      <c r="H405" s="11">
        <v>500</v>
      </c>
      <c r="I405" s="36">
        <v>175</v>
      </c>
      <c r="J405" s="36">
        <v>300</v>
      </c>
      <c r="K405" s="36">
        <v>130</v>
      </c>
      <c r="L405" s="38"/>
      <c r="M405" s="8"/>
      <c r="N405" s="37"/>
      <c r="O405" s="8"/>
      <c r="P405" s="8"/>
      <c r="Q405" s="8"/>
      <c r="R405" s="8"/>
      <c r="S405" s="69"/>
      <c r="T405" s="34">
        <f>IF(C405="","",ROUND(CHOOSE(MATCH(C405,{5,6,7,8,10,12,14,16,18,20,22,25,28,32,40},0),0.154,0.222,0.302,0.395,0.617,0.888,1.209,1.579,1.998,2.467,2.985,3.855,4.836,6.316,9.868)*D405*E405*G405/1000,3))</f>
        <v>103.40900000000001</v>
      </c>
    </row>
    <row r="406" spans="1:20" ht="26.25" customHeight="1" x14ac:dyDescent="0.2">
      <c r="A406" s="6">
        <v>16150</v>
      </c>
      <c r="B406" s="6" t="s">
        <v>93</v>
      </c>
      <c r="C406" s="7">
        <v>16</v>
      </c>
      <c r="D406" s="8">
        <v>1</v>
      </c>
      <c r="E406" s="8">
        <v>2</v>
      </c>
      <c r="F406" s="9">
        <f t="shared" si="86"/>
        <v>2</v>
      </c>
      <c r="G406" s="10">
        <f>IF(H406=310,IF(ISERROR(0/C406/D406/E406/I406/J406/K406/M406),"VOID",ROUND(I406+J406+K406+M406-IF(C406&lt;20,1.25*C406,1.75*C406),-1)),"FALSE")</f>
        <v>2260</v>
      </c>
      <c r="H406" s="11">
        <v>310</v>
      </c>
      <c r="I406" s="36">
        <v>500</v>
      </c>
      <c r="J406" s="55">
        <v>300</v>
      </c>
      <c r="K406" s="55">
        <v>1325</v>
      </c>
      <c r="L406" s="57">
        <v>50</v>
      </c>
      <c r="M406" s="50">
        <v>150</v>
      </c>
      <c r="N406" s="37"/>
      <c r="O406" s="8"/>
      <c r="P406" s="8"/>
      <c r="Q406" s="8"/>
      <c r="R406" s="8"/>
      <c r="S406" s="33"/>
      <c r="T406" s="34">
        <f>IF(C406="","",ROUND(CHOOSE(MATCH(C406,{5,6,7,8,10,12,14,16,18,20,22,25,28,32,40},0),0.154,0.222,0.302,0.395,0.617,0.888,1.209,1.579,1.998,2.467,2.985,3.855,4.836,6.316,9.868)*D406*E406*G406/1000,3))</f>
        <v>7.1369999999999996</v>
      </c>
    </row>
    <row r="407" spans="1:20" ht="26.25" customHeight="1" x14ac:dyDescent="0.2">
      <c r="A407" s="6">
        <v>16151</v>
      </c>
      <c r="B407" s="6" t="s">
        <v>93</v>
      </c>
      <c r="C407" s="7">
        <v>16</v>
      </c>
      <c r="D407" s="8">
        <v>1</v>
      </c>
      <c r="E407" s="8">
        <v>4</v>
      </c>
      <c r="F407" s="9">
        <f t="shared" si="86"/>
        <v>4</v>
      </c>
      <c r="G407" s="10">
        <f>IF(H407=100,IF(ISERROR(0/C407/D407/E407/I407),"VOID",ROUND(I407,-1)),"FALSE")</f>
        <v>2900</v>
      </c>
      <c r="H407" s="11">
        <v>100</v>
      </c>
      <c r="I407" s="36">
        <v>2900</v>
      </c>
      <c r="J407" s="36"/>
      <c r="K407" s="36"/>
      <c r="L407" s="38"/>
      <c r="M407" s="8"/>
      <c r="N407" s="37"/>
      <c r="O407" s="8"/>
      <c r="P407" s="8"/>
      <c r="Q407" s="8"/>
      <c r="R407" s="8"/>
      <c r="S407" s="69"/>
      <c r="T407" s="34">
        <f>IF(C407="","",ROUND(CHOOSE(MATCH(C407,{5,6,7,8,10,12,14,16,18,20,22,25,28,32,40},0),0.154,0.222,0.302,0.395,0.617,0.888,1.209,1.579,1.998,2.467,2.985,3.855,4.836,6.316,9.868)*D407*E407*G407/1000,3))</f>
        <v>18.315999999999999</v>
      </c>
    </row>
    <row r="408" spans="1:20" ht="26.25" customHeight="1" x14ac:dyDescent="0.2">
      <c r="A408" s="6">
        <v>16152</v>
      </c>
      <c r="B408" s="6" t="s">
        <v>93</v>
      </c>
      <c r="C408" s="7">
        <v>16</v>
      </c>
      <c r="D408" s="8">
        <v>1</v>
      </c>
      <c r="E408" s="8">
        <v>2</v>
      </c>
      <c r="F408" s="9">
        <f t="shared" si="86"/>
        <v>2</v>
      </c>
      <c r="G408" s="10">
        <f>IF(H408=483,IF(ISERROR(0/C408/D408/E408/I408/J408/K408/M408),"VOID",ROUND(I408+2*J408+K408+M408,-1)),"FALSE")</f>
        <v>4800</v>
      </c>
      <c r="H408" s="11">
        <v>483</v>
      </c>
      <c r="I408" s="36">
        <v>500</v>
      </c>
      <c r="J408" s="55">
        <v>300</v>
      </c>
      <c r="K408" s="36">
        <v>3200</v>
      </c>
      <c r="L408" s="38">
        <v>50</v>
      </c>
      <c r="M408" s="8">
        <v>500</v>
      </c>
      <c r="N408" s="37"/>
      <c r="O408" s="8"/>
      <c r="P408" s="8"/>
      <c r="Q408" s="8"/>
      <c r="R408" s="8"/>
      <c r="S408" s="33"/>
      <c r="T408" s="34">
        <f>IF(C408="","",ROUND(CHOOSE(MATCH(C408,{5,6,7,8,10,12,14,16,18,20,22,25,28,32,40},0),0.154,0.222,0.302,0.395,0.617,0.888,1.209,1.579,1.998,2.467,2.985,3.855,4.836,6.316,9.868)*D408*E408*G408/1000,3))</f>
        <v>15.157999999999999</v>
      </c>
    </row>
    <row r="409" spans="1:20" ht="26.25" customHeight="1" x14ac:dyDescent="0.2">
      <c r="A409" s="6">
        <v>20151</v>
      </c>
      <c r="B409" s="6" t="s">
        <v>93</v>
      </c>
      <c r="C409" s="7">
        <v>20</v>
      </c>
      <c r="D409" s="8">
        <v>1</v>
      </c>
      <c r="E409" s="8">
        <v>4</v>
      </c>
      <c r="F409" s="9">
        <f t="shared" si="86"/>
        <v>4</v>
      </c>
      <c r="G409" s="10">
        <f>IF(H409=100,IF(ISERROR(0/C409/D409/E409/I409),"VOID",ROUND(I409,-1)),"FALSE")</f>
        <v>2900</v>
      </c>
      <c r="H409" s="11">
        <v>100</v>
      </c>
      <c r="I409" s="36">
        <v>2900</v>
      </c>
      <c r="J409" s="8"/>
      <c r="K409" s="65"/>
      <c r="L409" s="12"/>
      <c r="M409" s="37"/>
      <c r="N409" s="37"/>
      <c r="O409" s="8"/>
      <c r="P409" s="8"/>
      <c r="Q409" s="8"/>
      <c r="R409" s="8"/>
      <c r="S409" s="69"/>
      <c r="T409" s="34">
        <f>IF(C409="","",ROUND(CHOOSE(MATCH(C409,{5,6,7,8,10,12,14,16,18,20,22,25,28,32,40},0),0.154,0.222,0.302,0.395,0.617,0.888,1.209,1.579,1.998,2.467,2.985,3.855,4.836,6.316,9.868)*D409*E409*G409/1000,3))</f>
        <v>28.617000000000001</v>
      </c>
    </row>
    <row r="410" spans="1:20" ht="26.25" customHeight="1" x14ac:dyDescent="0.2">
      <c r="A410" s="6">
        <v>16153</v>
      </c>
      <c r="B410" s="6" t="s">
        <v>93</v>
      </c>
      <c r="C410" s="7">
        <v>16</v>
      </c>
      <c r="D410" s="8">
        <v>1</v>
      </c>
      <c r="E410" s="8">
        <v>2</v>
      </c>
      <c r="F410" s="9">
        <f t="shared" si="86"/>
        <v>2</v>
      </c>
      <c r="G410" s="10">
        <f>IF(H410=310,IF(ISERROR(0/C410/D410/E410/I410/J410/K410/M410),"VOID",ROUND(I410+J410+K410+M410-IF(C410&lt;20,1.25*C410,1.75*C410),-1)),"FALSE")</f>
        <v>3380</v>
      </c>
      <c r="H410" s="11">
        <v>310</v>
      </c>
      <c r="I410" s="36">
        <v>500</v>
      </c>
      <c r="J410" s="36">
        <v>300</v>
      </c>
      <c r="K410" s="55">
        <v>2450</v>
      </c>
      <c r="L410" s="38">
        <v>50</v>
      </c>
      <c r="M410" s="8">
        <v>150</v>
      </c>
      <c r="N410" s="37"/>
      <c r="O410" s="8"/>
      <c r="P410" s="8"/>
      <c r="Q410" s="8"/>
      <c r="R410" s="8"/>
      <c r="S410" s="33"/>
      <c r="T410" s="34">
        <f>IF(C410="","",ROUND(CHOOSE(MATCH(C410,{5,6,7,8,10,12,14,16,18,20,22,25,28,32,40},0),0.154,0.222,0.302,0.395,0.617,0.888,1.209,1.579,1.998,2.467,2.985,3.855,4.836,6.316,9.868)*D410*E410*G410/1000,3))</f>
        <v>10.673999999999999</v>
      </c>
    </row>
    <row r="411" spans="1:20" ht="26.25" customHeight="1" x14ac:dyDescent="0.2">
      <c r="A411" s="6">
        <v>16154</v>
      </c>
      <c r="B411" s="6" t="s">
        <v>93</v>
      </c>
      <c r="C411" s="7">
        <v>16</v>
      </c>
      <c r="D411" s="8">
        <v>1</v>
      </c>
      <c r="E411" s="8">
        <v>2</v>
      </c>
      <c r="F411" s="9">
        <f t="shared" si="86"/>
        <v>2</v>
      </c>
      <c r="G411" s="10">
        <f>IF(H411=111,IF(ISERROR(0/C411/D411/E411/I411/J411),"VOID",ROUND(I411+J411-IF(C411&lt;20,1.25*C411,1.75*C411),-1)),"FALSE")</f>
        <v>2760</v>
      </c>
      <c r="H411" s="11">
        <v>111</v>
      </c>
      <c r="I411" s="36">
        <v>150</v>
      </c>
      <c r="J411" s="36">
        <v>2625</v>
      </c>
      <c r="K411" s="8"/>
      <c r="L411" s="53"/>
      <c r="M411" s="50"/>
      <c r="N411" s="37"/>
      <c r="O411" s="8"/>
      <c r="P411" s="8"/>
      <c r="Q411" s="8"/>
      <c r="R411" s="8"/>
      <c r="S411" s="69"/>
      <c r="T411" s="34">
        <f>IF(C411="","",ROUND(CHOOSE(MATCH(C411,{5,6,7,8,10,12,14,16,18,20,22,25,28,32,40},0),0.154,0.222,0.302,0.395,0.617,0.888,1.209,1.579,1.998,2.467,2.985,3.855,4.836,6.316,9.868)*D411*E411*G411/1000,3))</f>
        <v>8.7159999999999993</v>
      </c>
    </row>
    <row r="412" spans="1:20" ht="26.25" customHeight="1" x14ac:dyDescent="0.2">
      <c r="A412" s="6">
        <v>16155</v>
      </c>
      <c r="B412" s="6" t="s">
        <v>93</v>
      </c>
      <c r="C412" s="7">
        <v>16</v>
      </c>
      <c r="D412" s="8">
        <v>1</v>
      </c>
      <c r="E412" s="8">
        <v>4</v>
      </c>
      <c r="F412" s="9">
        <f t="shared" si="86"/>
        <v>4</v>
      </c>
      <c r="G412" s="10">
        <f>IF(H412=222,IF(ISERROR(0/C412/D412/E412/I412/J412/K412),"VOID",ROUND(I412+J412+K412,-1)),"FALSE")</f>
        <v>7200</v>
      </c>
      <c r="H412" s="11">
        <v>222</v>
      </c>
      <c r="I412" s="36">
        <v>500</v>
      </c>
      <c r="J412" s="36">
        <v>300</v>
      </c>
      <c r="K412" s="55">
        <v>6400</v>
      </c>
      <c r="L412" s="57">
        <v>50</v>
      </c>
      <c r="M412" s="50"/>
      <c r="N412" s="37"/>
      <c r="O412" s="8"/>
      <c r="P412" s="8"/>
      <c r="Q412" s="8"/>
      <c r="R412" s="8"/>
      <c r="S412" s="33"/>
      <c r="T412" s="34">
        <f>IF(C412="","",ROUND(CHOOSE(MATCH(C412,{5,6,7,8,10,12,14,16,18,20,22,25,28,32,40},0),0.154,0.222,0.302,0.395,0.617,0.888,1.209,1.579,1.998,2.467,2.985,3.855,4.836,6.316,9.868)*D412*E412*G412/1000,3))</f>
        <v>45.475000000000001</v>
      </c>
    </row>
    <row r="413" spans="1:20" ht="26.25" customHeight="1" x14ac:dyDescent="0.2">
      <c r="A413" s="6">
        <v>16156</v>
      </c>
      <c r="B413" s="6" t="s">
        <v>93</v>
      </c>
      <c r="C413" s="7">
        <v>16</v>
      </c>
      <c r="D413" s="8">
        <v>1</v>
      </c>
      <c r="E413" s="8">
        <v>2</v>
      </c>
      <c r="F413" s="9">
        <f t="shared" si="86"/>
        <v>2</v>
      </c>
      <c r="G413" s="10">
        <f>IF(H413=111,IF(ISERROR(0/C413/D413/E413/I413/J413),"VOID",ROUND(I413+J413-IF(C413&lt;20,1.25*C413,1.75*C413),-1)),"FALSE")</f>
        <v>2760</v>
      </c>
      <c r="H413" s="11">
        <v>111</v>
      </c>
      <c r="I413" s="36">
        <v>150</v>
      </c>
      <c r="J413" s="36">
        <v>2625</v>
      </c>
      <c r="K413" s="55"/>
      <c r="L413" s="57"/>
      <c r="M413" s="50"/>
      <c r="N413" s="37"/>
      <c r="O413" s="8"/>
      <c r="P413" s="8"/>
      <c r="Q413" s="8"/>
      <c r="R413" s="8"/>
      <c r="S413" s="69"/>
      <c r="T413" s="34">
        <f>IF(C413="","",ROUND(CHOOSE(MATCH(C413,{5,6,7,8,10,12,14,16,18,20,22,25,28,32,40},0),0.154,0.222,0.302,0.395,0.617,0.888,1.209,1.579,1.998,2.467,2.985,3.855,4.836,6.316,9.868)*D413*E413*G413/1000,3))</f>
        <v>8.7159999999999993</v>
      </c>
    </row>
    <row r="414" spans="1:20" ht="26.25" customHeight="1" x14ac:dyDescent="0.2">
      <c r="A414" s="6">
        <v>1006</v>
      </c>
      <c r="B414" s="6" t="s">
        <v>93</v>
      </c>
      <c r="C414" s="7">
        <v>10</v>
      </c>
      <c r="D414" s="8">
        <v>1</v>
      </c>
      <c r="E414" s="8">
        <v>52</v>
      </c>
      <c r="F414" s="9">
        <f t="shared" si="86"/>
        <v>52</v>
      </c>
      <c r="G414" s="10">
        <f>IF(H414=500,IF(ISERROR(0/C414/D414/E414/I414/J414/K414),"VOID",ROUND(2*(I414+J414+K414)-IF(C414&lt;20,6.25*C414,8.75*C414),-1)),"FALSE")</f>
        <v>1150</v>
      </c>
      <c r="H414" s="11">
        <v>500</v>
      </c>
      <c r="I414" s="8">
        <v>175</v>
      </c>
      <c r="J414" s="8">
        <v>300</v>
      </c>
      <c r="K414" s="36">
        <f>CEILING(MAX(C414*13,),5)</f>
        <v>130</v>
      </c>
      <c r="L414" s="38"/>
      <c r="M414" s="8"/>
      <c r="N414" s="37"/>
      <c r="O414" s="8"/>
      <c r="P414" s="8"/>
      <c r="Q414" s="8"/>
      <c r="R414" s="8"/>
      <c r="S414" s="69"/>
      <c r="T414" s="34">
        <f>IF(C414="","",ROUND(CHOOSE(MATCH(C414,{5,6,7,8,10,12,14,16,18,20,22,25,28,32,40},0),0.154,0.222,0.302,0.395,0.617,0.888,1.209,1.579,1.998,2.467,2.985,3.855,4.836,6.316,9.868)*D414*E414*G414/1000,3))</f>
        <v>36.896999999999998</v>
      </c>
    </row>
    <row r="415" spans="1:20" ht="26.25" customHeight="1" x14ac:dyDescent="0.2">
      <c r="A415" s="6">
        <v>16157</v>
      </c>
      <c r="B415" s="6" t="s">
        <v>94</v>
      </c>
      <c r="C415" s="7">
        <v>16</v>
      </c>
      <c r="D415" s="8">
        <v>1</v>
      </c>
      <c r="E415" s="8">
        <v>2</v>
      </c>
      <c r="F415" s="9">
        <f t="shared" si="86"/>
        <v>2</v>
      </c>
      <c r="G415" s="10">
        <f>IF(H415=310,IF(ISERROR(0/C415/D415/E415/I415/J415/K415/M415),"VOID",ROUND(I415+J415+K415+M415-IF(C415&lt;20,1.25*C415,1.75*C415),-1)),"FALSE")</f>
        <v>10060</v>
      </c>
      <c r="H415" s="11">
        <v>310</v>
      </c>
      <c r="I415" s="36">
        <v>500</v>
      </c>
      <c r="J415" s="50">
        <v>300</v>
      </c>
      <c r="K415" s="66">
        <v>9125</v>
      </c>
      <c r="L415" s="54">
        <v>50</v>
      </c>
      <c r="M415" s="50">
        <v>150</v>
      </c>
      <c r="N415" s="8"/>
      <c r="O415" s="8"/>
      <c r="P415" s="8"/>
      <c r="Q415" s="8"/>
      <c r="R415" s="8"/>
      <c r="S415" s="33"/>
      <c r="T415" s="34">
        <f>IF(C415="","",ROUND(CHOOSE(MATCH(C415,{5,6,7,8,10,12,14,16,18,20,22,25,28,32,40},0),0.154,0.222,0.302,0.395,0.617,0.888,1.209,1.579,1.998,2.467,2.985,3.855,4.836,6.316,9.868)*D415*E415*G415/1000,3))</f>
        <v>31.768999999999998</v>
      </c>
    </row>
    <row r="416" spans="1:20" ht="26.25" customHeight="1" x14ac:dyDescent="0.2">
      <c r="A416" s="6">
        <v>16127</v>
      </c>
      <c r="B416" s="6" t="s">
        <v>94</v>
      </c>
      <c r="C416" s="7">
        <v>16</v>
      </c>
      <c r="D416" s="8">
        <v>1</v>
      </c>
      <c r="E416" s="8">
        <v>6</v>
      </c>
      <c r="F416" s="9">
        <f t="shared" si="86"/>
        <v>6</v>
      </c>
      <c r="G416" s="10">
        <f>IF(H416=100,IF(ISERROR(0/C416/D416/E416/I416),"VOID",ROUND(I416,-1)),"FALSE")</f>
        <v>2200</v>
      </c>
      <c r="H416" s="11">
        <v>100</v>
      </c>
      <c r="I416" s="36">
        <v>2200</v>
      </c>
      <c r="J416" s="36"/>
      <c r="K416" s="36"/>
      <c r="L416" s="38"/>
      <c r="M416" s="8"/>
      <c r="N416" s="37"/>
      <c r="O416" s="8"/>
      <c r="P416" s="8"/>
      <c r="Q416" s="8"/>
      <c r="R416" s="8"/>
      <c r="S416" s="69"/>
      <c r="T416" s="34">
        <f>IF(C416="","",ROUND(CHOOSE(MATCH(C416,{5,6,7,8,10,12,14,16,18,20,22,25,28,32,40},0),0.154,0.222,0.302,0.395,0.617,0.888,1.209,1.579,1.998,2.467,2.985,3.855,4.836,6.316,9.868)*D416*E416*G416/1000,3))</f>
        <v>20.843</v>
      </c>
    </row>
    <row r="417" spans="1:20" ht="26.25" customHeight="1" x14ac:dyDescent="0.2">
      <c r="A417" s="6">
        <v>16158</v>
      </c>
      <c r="B417" s="6" t="s">
        <v>94</v>
      </c>
      <c r="C417" s="7">
        <v>16</v>
      </c>
      <c r="D417" s="8">
        <v>1</v>
      </c>
      <c r="E417" s="8">
        <v>2</v>
      </c>
      <c r="F417" s="9">
        <f t="shared" ref="F417:F426" si="87">D417*E417</f>
        <v>2</v>
      </c>
      <c r="G417" s="10">
        <f>IF(H417=483,IF(ISERROR(0/C417/D417/E417/I417/J417/K417/M417),"VOID",ROUND(I417+2*J417+K417+M417,-1)),"FALSE")</f>
        <v>3630</v>
      </c>
      <c r="H417" s="11">
        <v>483</v>
      </c>
      <c r="I417" s="36">
        <v>500</v>
      </c>
      <c r="J417" s="36">
        <v>300</v>
      </c>
      <c r="K417" s="36">
        <v>2025</v>
      </c>
      <c r="L417" s="12">
        <v>50</v>
      </c>
      <c r="M417" s="37">
        <v>500</v>
      </c>
      <c r="N417" s="8"/>
      <c r="O417" s="8"/>
      <c r="P417" s="8"/>
      <c r="Q417" s="8"/>
      <c r="R417" s="8"/>
      <c r="S417" s="33"/>
      <c r="T417" s="34">
        <f>IF(C417="","",ROUND(CHOOSE(MATCH(C417,{5,6,7,8,10,12,14,16,18,20,22,25,28,32,40},0),0.154,0.222,0.302,0.395,0.617,0.888,1.209,1.579,1.998,2.467,2.985,3.855,4.836,6.316,9.868)*D417*E417*G417/1000,3))</f>
        <v>11.464</v>
      </c>
    </row>
    <row r="418" spans="1:20" ht="26.25" customHeight="1" x14ac:dyDescent="0.2">
      <c r="A418" s="6">
        <v>16159</v>
      </c>
      <c r="B418" s="6" t="s">
        <v>94</v>
      </c>
      <c r="C418" s="7">
        <v>16</v>
      </c>
      <c r="D418" s="8">
        <v>1</v>
      </c>
      <c r="E418" s="8">
        <v>2</v>
      </c>
      <c r="F418" s="9">
        <f t="shared" si="87"/>
        <v>2</v>
      </c>
      <c r="G418" s="10">
        <f>IF(H418=310,IF(ISERROR(0/C418/D418/E418/I418/J418/K418/M418),"VOID",ROUND(I418+J418+K418+M418-IF(C418&lt;20,1.25*C418,1.75*C418),-1)),"FALSE")</f>
        <v>3110</v>
      </c>
      <c r="H418" s="11">
        <v>310</v>
      </c>
      <c r="I418" s="36">
        <v>500</v>
      </c>
      <c r="J418" s="36">
        <v>300</v>
      </c>
      <c r="K418" s="36">
        <v>2175</v>
      </c>
      <c r="L418" s="38">
        <v>50</v>
      </c>
      <c r="M418" s="8">
        <v>150</v>
      </c>
      <c r="N418" s="37"/>
      <c r="O418" s="8"/>
      <c r="P418" s="8"/>
      <c r="Q418" s="8"/>
      <c r="R418" s="8"/>
      <c r="S418" s="33"/>
      <c r="T418" s="34">
        <f>IF(C418="","",ROUND(CHOOSE(MATCH(C418,{5,6,7,8,10,12,14,16,18,20,22,25,28,32,40},0),0.154,0.222,0.302,0.395,0.617,0.888,1.209,1.579,1.998,2.467,2.985,3.855,4.836,6.316,9.868)*D418*E418*G418/1000,3))</f>
        <v>9.8209999999999997</v>
      </c>
    </row>
    <row r="419" spans="1:20" ht="26.25" customHeight="1" x14ac:dyDescent="0.2">
      <c r="A419" s="6">
        <v>16160</v>
      </c>
      <c r="B419" s="6" t="s">
        <v>94</v>
      </c>
      <c r="C419" s="7">
        <v>16</v>
      </c>
      <c r="D419" s="8">
        <v>1</v>
      </c>
      <c r="E419" s="8">
        <v>2</v>
      </c>
      <c r="F419" s="9">
        <f t="shared" si="87"/>
        <v>2</v>
      </c>
      <c r="G419" s="10">
        <f>IF(H419=310,IF(ISERROR(0/C419/D419/E419/I419/J419/K419/M419),"VOID",ROUND(I419+J419+K419+M419-IF(C419&lt;20,1.25*C419,1.75*C419),-1)),"FALSE")</f>
        <v>11060</v>
      </c>
      <c r="H419" s="11">
        <v>310</v>
      </c>
      <c r="I419" s="36">
        <v>500</v>
      </c>
      <c r="J419" s="8">
        <v>300</v>
      </c>
      <c r="K419" s="37">
        <v>10125</v>
      </c>
      <c r="L419" s="41">
        <v>50</v>
      </c>
      <c r="M419" s="8">
        <v>150</v>
      </c>
      <c r="N419" s="8"/>
      <c r="O419" s="8"/>
      <c r="P419" s="8"/>
      <c r="Q419" s="8"/>
      <c r="R419" s="8"/>
      <c r="S419" s="33"/>
      <c r="T419" s="34">
        <f>IF(C419="","",ROUND(CHOOSE(MATCH(C419,{5,6,7,8,10,12,14,16,18,20,22,25,28,32,40},0),0.154,0.222,0.302,0.395,0.617,0.888,1.209,1.579,1.998,2.467,2.985,3.855,4.836,6.316,9.868)*D419*E419*G419/1000,3))</f>
        <v>34.927</v>
      </c>
    </row>
    <row r="420" spans="1:20" ht="26.25" customHeight="1" x14ac:dyDescent="0.2">
      <c r="A420" s="6">
        <v>16161</v>
      </c>
      <c r="B420" s="6" t="s">
        <v>94</v>
      </c>
      <c r="C420" s="7">
        <v>16</v>
      </c>
      <c r="D420" s="8">
        <v>1</v>
      </c>
      <c r="E420" s="8">
        <v>3</v>
      </c>
      <c r="F420" s="9">
        <f t="shared" si="87"/>
        <v>3</v>
      </c>
      <c r="G420" s="10">
        <f>IF(H420=100,IF(ISERROR(0/C420/D420/E420/I420),"VOID",ROUND(I420,-1)),"FALSE")</f>
        <v>4430</v>
      </c>
      <c r="H420" s="11">
        <v>100</v>
      </c>
      <c r="I420" s="36">
        <v>4425</v>
      </c>
      <c r="J420" s="36"/>
      <c r="K420" s="36"/>
      <c r="L420" s="38"/>
      <c r="M420" s="8"/>
      <c r="N420" s="37"/>
      <c r="O420" s="8"/>
      <c r="P420" s="8"/>
      <c r="Q420" s="8"/>
      <c r="R420" s="8"/>
      <c r="S420" s="69"/>
      <c r="T420" s="34">
        <f>IF(C420="","",ROUND(CHOOSE(MATCH(C420,{5,6,7,8,10,12,14,16,18,20,22,25,28,32,40},0),0.154,0.222,0.302,0.395,0.617,0.888,1.209,1.579,1.998,2.467,2.985,3.855,4.836,6.316,9.868)*D420*E420*G420/1000,3))</f>
        <v>20.984999999999999</v>
      </c>
    </row>
    <row r="421" spans="1:20" ht="26.25" customHeight="1" x14ac:dyDescent="0.2">
      <c r="A421" s="6">
        <v>16162</v>
      </c>
      <c r="B421" s="6" t="s">
        <v>94</v>
      </c>
      <c r="C421" s="7">
        <v>16</v>
      </c>
      <c r="D421" s="8">
        <v>1</v>
      </c>
      <c r="E421" s="8">
        <v>2</v>
      </c>
      <c r="F421" s="9">
        <f t="shared" si="87"/>
        <v>2</v>
      </c>
      <c r="G421" s="10">
        <f>IF(H421=310,IF(ISERROR(0/C421/D421/E421/I421/J421/K421/M421),"VOID",ROUND(I421+J421+K421+M421-IF(C421&lt;20,1.25*C421,1.75*C421),-1)),"FALSE")</f>
        <v>4110</v>
      </c>
      <c r="H421" s="11">
        <v>310</v>
      </c>
      <c r="I421" s="36">
        <v>500</v>
      </c>
      <c r="J421" s="8">
        <v>300</v>
      </c>
      <c r="K421" s="37">
        <v>3175</v>
      </c>
      <c r="L421" s="41">
        <v>50</v>
      </c>
      <c r="M421" s="8">
        <v>150</v>
      </c>
      <c r="N421" s="8"/>
      <c r="O421" s="8"/>
      <c r="P421" s="8"/>
      <c r="Q421" s="8"/>
      <c r="R421" s="8"/>
      <c r="S421" s="33"/>
      <c r="T421" s="34">
        <f>IF(C421="","",ROUND(CHOOSE(MATCH(C421,{5,6,7,8,10,12,14,16,18,20,22,25,28,32,40},0),0.154,0.222,0.302,0.395,0.617,0.888,1.209,1.579,1.998,2.467,2.985,3.855,4.836,6.316,9.868)*D421*E421*G421/1000,3))</f>
        <v>12.978999999999999</v>
      </c>
    </row>
    <row r="422" spans="1:20" ht="26.25" customHeight="1" x14ac:dyDescent="0.2">
      <c r="A422" s="6">
        <v>1006</v>
      </c>
      <c r="B422" s="6" t="s">
        <v>94</v>
      </c>
      <c r="C422" s="7">
        <v>10</v>
      </c>
      <c r="D422" s="8">
        <v>1</v>
      </c>
      <c r="E422" s="8">
        <v>72</v>
      </c>
      <c r="F422" s="9">
        <f t="shared" si="87"/>
        <v>72</v>
      </c>
      <c r="G422" s="10">
        <f>IF(H422=500,IF(ISERROR(0/C422/D422/E422/I422/J422/K422),"VOID",ROUND(2*(I422+J422+K422)-IF(C422&lt;20,6.25*C422,8.75*C422),-1)),"FALSE")</f>
        <v>1150</v>
      </c>
      <c r="H422" s="11">
        <v>500</v>
      </c>
      <c r="I422" s="36">
        <v>175</v>
      </c>
      <c r="J422" s="8">
        <v>300</v>
      </c>
      <c r="K422" s="37">
        <f>CEILING(MAX(C422*13,),5)</f>
        <v>130</v>
      </c>
      <c r="L422" s="54"/>
      <c r="M422" s="50"/>
      <c r="N422" s="8"/>
      <c r="O422" s="8"/>
      <c r="P422" s="8"/>
      <c r="Q422" s="8"/>
      <c r="R422" s="8"/>
      <c r="S422" s="69"/>
      <c r="T422" s="34">
        <f>IF(C422="","",ROUND(CHOOSE(MATCH(C422,{5,6,7,8,10,12,14,16,18,20,22,25,28,32,40},0),0.154,0.222,0.302,0.395,0.617,0.888,1.209,1.579,1.998,2.467,2.985,3.855,4.836,6.316,9.868)*D422*E422*G422/1000,3))</f>
        <v>51.088000000000001</v>
      </c>
    </row>
    <row r="423" spans="1:20" ht="26.25" customHeight="1" x14ac:dyDescent="0.2">
      <c r="A423" s="6">
        <v>16163</v>
      </c>
      <c r="B423" s="6" t="s">
        <v>95</v>
      </c>
      <c r="C423" s="7">
        <v>16</v>
      </c>
      <c r="D423" s="8">
        <v>1</v>
      </c>
      <c r="E423" s="8">
        <v>4</v>
      </c>
      <c r="F423" s="9">
        <f t="shared" si="87"/>
        <v>4</v>
      </c>
      <c r="G423" s="10">
        <f>IF(H423=200,IF(ISERROR(0/C423/D423/E423/I423/J423/K423),"VOID",ROUND(I423+J423+K423-IF(C423&lt;20,2.5*C423,3.5*C423),-1)),"FALSE")</f>
        <v>6540</v>
      </c>
      <c r="H423" s="11">
        <v>200</v>
      </c>
      <c r="I423" s="36">
        <v>150</v>
      </c>
      <c r="J423" s="36">
        <v>6275</v>
      </c>
      <c r="K423" s="36">
        <v>150</v>
      </c>
      <c r="L423" s="38"/>
      <c r="M423" s="8"/>
      <c r="N423" s="37"/>
      <c r="O423" s="8"/>
      <c r="P423" s="8"/>
      <c r="Q423" s="8"/>
      <c r="R423" s="8"/>
      <c r="S423" s="69"/>
      <c r="T423" s="34">
        <f>IF(C423="","",ROUND(CHOOSE(MATCH(C423,{5,6,7,8,10,12,14,16,18,20,22,25,28,32,40},0),0.154,0.222,0.302,0.395,0.617,0.888,1.209,1.579,1.998,2.467,2.985,3.855,4.836,6.316,9.868)*D423*E423*G423/1000,3))</f>
        <v>41.307000000000002</v>
      </c>
    </row>
    <row r="424" spans="1:20" ht="26.25" customHeight="1" x14ac:dyDescent="0.2">
      <c r="A424" s="6">
        <v>1006</v>
      </c>
      <c r="B424" s="6" t="s">
        <v>95</v>
      </c>
      <c r="C424" s="7">
        <v>10</v>
      </c>
      <c r="D424" s="8">
        <v>1</v>
      </c>
      <c r="E424" s="8">
        <v>25</v>
      </c>
      <c r="F424" s="9">
        <f t="shared" si="87"/>
        <v>25</v>
      </c>
      <c r="G424" s="10">
        <f>IF(H424=500,IF(ISERROR(0/C424/D424/E424/I424/J424/K424),"VOID",ROUND(2*(I424+J424+K424)-IF(C424&lt;20,6.25*C424,8.75*C424),-1)),"FALSE")</f>
        <v>1150</v>
      </c>
      <c r="H424" s="11">
        <v>500</v>
      </c>
      <c r="I424" s="36">
        <v>175</v>
      </c>
      <c r="J424" s="36">
        <v>300</v>
      </c>
      <c r="K424" s="36">
        <f>CEILING(MAX(C424*13,),5)</f>
        <v>130</v>
      </c>
      <c r="L424" s="57"/>
      <c r="M424" s="50"/>
      <c r="N424" s="37"/>
      <c r="O424" s="8"/>
      <c r="P424" s="8"/>
      <c r="Q424" s="8"/>
      <c r="R424" s="8"/>
      <c r="S424" s="69"/>
      <c r="T424" s="34">
        <f>IF(C424="","",ROUND(CHOOSE(MATCH(C424,{5,6,7,8,10,12,14,16,18,20,22,25,28,32,40},0),0.154,0.222,0.302,0.395,0.617,0.888,1.209,1.579,1.998,2.467,2.985,3.855,4.836,6.316,9.868)*D424*E424*G424/1000,3))</f>
        <v>17.739000000000001</v>
      </c>
    </row>
    <row r="425" spans="1:20" ht="26.25" customHeight="1" x14ac:dyDescent="0.2">
      <c r="A425" s="6">
        <v>16175</v>
      </c>
      <c r="B425" s="6" t="s">
        <v>96</v>
      </c>
      <c r="C425" s="7">
        <v>16</v>
      </c>
      <c r="D425" s="8">
        <v>1</v>
      </c>
      <c r="E425" s="8">
        <v>4</v>
      </c>
      <c r="F425" s="9">
        <f t="shared" si="87"/>
        <v>4</v>
      </c>
      <c r="G425" s="10">
        <f>IF(H425=200,IF(ISERROR(0/C425/D425/E425/I425/J425/K425),"VOID",ROUND(I425+J425+K425-IF(C425&lt;20,2.5*C425,3.5*C425),-1)),"FALSE")</f>
        <v>4690</v>
      </c>
      <c r="H425" s="11">
        <v>200</v>
      </c>
      <c r="I425" s="36">
        <v>150</v>
      </c>
      <c r="J425" s="36">
        <v>4425</v>
      </c>
      <c r="K425" s="36">
        <v>150</v>
      </c>
      <c r="L425" s="38"/>
      <c r="M425" s="8"/>
      <c r="N425" s="37"/>
      <c r="O425" s="8"/>
      <c r="P425" s="8"/>
      <c r="Q425" s="8"/>
      <c r="R425" s="8"/>
      <c r="S425" s="69"/>
      <c r="T425" s="34">
        <f>IF(C425="","",ROUND(CHOOSE(MATCH(C425,{5,6,7,8,10,12,14,16,18,20,22,25,28,32,40},0),0.154,0.222,0.302,0.395,0.617,0.888,1.209,1.579,1.998,2.467,2.985,3.855,4.836,6.316,9.868)*D425*E425*G425/1000,3))</f>
        <v>29.622</v>
      </c>
    </row>
    <row r="426" spans="1:20" ht="26.25" customHeight="1" x14ac:dyDescent="0.2">
      <c r="A426" s="6">
        <v>1006</v>
      </c>
      <c r="B426" s="6" t="s">
        <v>96</v>
      </c>
      <c r="C426" s="7">
        <v>10</v>
      </c>
      <c r="D426" s="8">
        <v>1</v>
      </c>
      <c r="E426" s="8">
        <v>17</v>
      </c>
      <c r="F426" s="9">
        <f t="shared" si="87"/>
        <v>17</v>
      </c>
      <c r="G426" s="10">
        <f>IF(H426=500,IF(ISERROR(0/C426/D426/E426/I426/J426/K426),"VOID",ROUND(2*(I426+J426+K426)-IF(C426&lt;20,6.25*C426,8.75*C426),-1)),"FALSE")</f>
        <v>1150</v>
      </c>
      <c r="H426" s="11">
        <v>500</v>
      </c>
      <c r="I426" s="36">
        <v>175</v>
      </c>
      <c r="J426" s="36">
        <v>300</v>
      </c>
      <c r="K426" s="36">
        <f>CEILING(MAX(C426*13,),5)</f>
        <v>130</v>
      </c>
      <c r="L426" s="72"/>
      <c r="M426" s="51"/>
      <c r="N426" s="37"/>
      <c r="O426" s="8"/>
      <c r="P426" s="8"/>
      <c r="Q426" s="8"/>
      <c r="R426" s="8"/>
      <c r="S426" s="69"/>
      <c r="T426" s="34">
        <f>IF(C426="","",ROUND(CHOOSE(MATCH(C426,{5,6,7,8,10,12,14,16,18,20,22,25,28,32,40},0),0.154,0.222,0.302,0.395,0.617,0.888,1.209,1.579,1.998,2.467,2.985,3.855,4.836,6.316,9.868)*D426*E426*G426/1000,3))</f>
        <v>12.061999999999999</v>
      </c>
    </row>
  </sheetData>
  <mergeCells count="1">
    <mergeCell ref="X4:AC4"/>
  </mergeCells>
  <dataValidations count="2">
    <dataValidation type="whole" allowBlank="1" showInputMessage="1" showErrorMessage="1" errorTitle="Bar size is not correct" error="Don't type any letters (like &quot;mm&quot; or &quot;T&quot;) with the dia of bar. Put the diameter number only." sqref="W7:AC7">
      <formula1>6</formula1>
      <formula2>40</formula2>
    </dataValidation>
    <dataValidation type="custom" allowBlank="1" showDropDown="1" showInputMessage="1" showErrorMessage="1" errorTitle="Bar size limitation" error="Data&gt; Validation limited for bar sizes 5,6,7,8,10,12,14,16,18,20,22,25,28,32,40._x000a_Don't type any letters (like &quot;mm&quot; or &quot;T&quot;) with the dia of bar." sqref="C3:C426">
      <formula1>OR(C3=5,C3=6,,C3=7,C3=8,C3=10,C3=12,C3=14,C3=16,C3=18,C3=20,C3=22,C3=25,C3=28,C3=32,C3=40)</formula1>
    </dataValidation>
  </dataValidations>
  <printOptions horizontalCentered="1"/>
  <pageMargins left="0.51181102362204722" right="0" top="0.11811023622047245" bottom="0.59055118110236227" header="0.11811023622047245" footer="0"/>
  <pageSetup paperSize="9" fitToHeight="0" orientation="portrait" r:id="rId1"/>
  <headerFooter alignWithMargins="0">
    <oddHeader>&amp;R&amp;8Page №:(&amp;P)</oddHeader>
    <oddFooter>&amp;R&amp;"Tahoma,Regular"Prepared by                                            Checked b&amp;"Arial,Regular"y&amp;LUnregistered version of BBS Program
www.BendingSchedule.com</oddFooter>
  </headerFooter>
  <ignoredErrors>
    <ignoredError sqref="X8" evalError="1"/>
  </ignoredErrors>
  <drawing r:id="rId2"/>
  <legacyDrawing r:id="rId3"/>
  <controls>
    <mc:AlternateContent xmlns:mc="http://schemas.openxmlformats.org/markup-compatibility/2006">
      <mc:Choice Requires="x14">
        <control shapeId="144398" r:id="rId4" name="Open_OptionsForm">
          <controlPr defaultSize="0" print="0" autoLine="0" autoPict="0" r:id="rId5">
            <anchor moveWithCells="1">
              <from>
                <xdr:col>19</xdr:col>
                <xdr:colOff>476250</xdr:colOff>
                <xdr:row>0</xdr:row>
                <xdr:rowOff>0</xdr:rowOff>
              </from>
              <to>
                <xdr:col>21</xdr:col>
                <xdr:colOff>400050</xdr:colOff>
                <xdr:row>1</xdr:row>
                <xdr:rowOff>66675</xdr:rowOff>
              </to>
            </anchor>
          </controlPr>
        </control>
      </mc:Choice>
      <mc:Fallback>
        <control shapeId="144398" r:id="rId4" name="Open_OptionsForm"/>
      </mc:Fallback>
    </mc:AlternateContent>
    <mc:AlternateContent xmlns:mc="http://schemas.openxmlformats.org/markup-compatibility/2006">
      <mc:Choice Requires="x14">
        <control shapeId="144397" r:id="rId6" name="Registered">
          <controlPr defaultSize="0" autoLine="0" r:id="rId7">
            <anchor moveWithCells="1">
              <from>
                <xdr:col>0</xdr:col>
                <xdr:colOff>152400</xdr:colOff>
                <xdr:row>0</xdr:row>
                <xdr:rowOff>152400</xdr:rowOff>
              </from>
              <to>
                <xdr:col>0</xdr:col>
                <xdr:colOff>161925</xdr:colOff>
                <xdr:row>1</xdr:row>
                <xdr:rowOff>0</xdr:rowOff>
              </to>
            </anchor>
          </controlPr>
        </control>
      </mc:Choice>
      <mc:Fallback>
        <control shapeId="144397" r:id="rId6" name="Registered"/>
      </mc:Fallback>
    </mc:AlternateContent>
    <mc:AlternateContent xmlns:mc="http://schemas.openxmlformats.org/markup-compatibility/2006">
      <mc:Choice Requires="x14">
        <control shapeId="144396" r:id="rId8" name="Capitalization">
          <controlPr defaultSize="0" autoLine="0" autoPict="0" r:id="rId9">
            <anchor moveWithCells="1">
              <from>
                <xdr:col>1</xdr:col>
                <xdr:colOff>609600</xdr:colOff>
                <xdr:row>2</xdr:row>
                <xdr:rowOff>0</xdr:rowOff>
              </from>
              <to>
                <xdr:col>1</xdr:col>
                <xdr:colOff>619125</xdr:colOff>
                <xdr:row>2</xdr:row>
                <xdr:rowOff>9525</xdr:rowOff>
              </to>
            </anchor>
          </controlPr>
        </control>
      </mc:Choice>
      <mc:Fallback>
        <control shapeId="144396" r:id="rId8" name="Capitalization"/>
      </mc:Fallback>
    </mc:AlternateContent>
    <mc:AlternateContent xmlns:mc="http://schemas.openxmlformats.org/markup-compatibility/2006">
      <mc:Choice Requires="x14">
        <control shapeId="144391" r:id="rId10" name="LastRowOfSummary">
          <controlPr defaultSize="0" autoLine="0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44391" r:id="rId10" name="LastRowOfSummary"/>
      </mc:Fallback>
    </mc:AlternateContent>
    <mc:AlternateContent xmlns:mc="http://schemas.openxmlformats.org/markup-compatibility/2006">
      <mc:Choice Requires="x14">
        <control shapeId="144390" r:id="rId12" name="CodeColumn">
          <controlPr defaultSize="0" autoLine="0" r:id="rId13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76200</xdr:colOff>
                <xdr:row>0</xdr:row>
                <xdr:rowOff>76200</xdr:rowOff>
              </to>
            </anchor>
          </controlPr>
        </control>
      </mc:Choice>
      <mc:Fallback>
        <control shapeId="144390" r:id="rId12" name="CodeColumn"/>
      </mc:Fallback>
    </mc:AlternateContent>
    <mc:AlternateContent xmlns:mc="http://schemas.openxmlformats.org/markup-compatibility/2006">
      <mc:Choice Requires="x14">
        <control shapeId="144389" r:id="rId14" name="AutomaticallyOpenProgramFile">
          <controlPr defaultSize="0" autoLine="0" autoPict="0" r:id="rId15">
            <anchor moveWithCells="1">
              <from>
                <xdr:col>1</xdr:col>
                <xdr:colOff>457200</xdr:colOff>
                <xdr:row>1</xdr:row>
                <xdr:rowOff>257175</xdr:rowOff>
              </from>
              <to>
                <xdr:col>1</xdr:col>
                <xdr:colOff>466725</xdr:colOff>
                <xdr:row>1</xdr:row>
                <xdr:rowOff>266700</xdr:rowOff>
              </to>
            </anchor>
          </controlPr>
        </control>
      </mc:Choice>
      <mc:Fallback>
        <control shapeId="144389" r:id="rId14" name="AutomaticallyOpenProgramFile"/>
      </mc:Fallback>
    </mc:AlternateContent>
    <mc:AlternateContent xmlns:mc="http://schemas.openxmlformats.org/markup-compatibility/2006">
      <mc:Choice Requires="x14">
        <control shapeId="144388" r:id="rId16" name="ProgramFileFullName">
          <controlPr defaultSize="0" autoLine="0" autoPict="0" r:id="rId17">
            <anchor moveWithCells="1">
              <from>
                <xdr:col>1</xdr:col>
                <xdr:colOff>304800</xdr:colOff>
                <xdr:row>1</xdr:row>
                <xdr:rowOff>104775</xdr:rowOff>
              </from>
              <to>
                <xdr:col>1</xdr:col>
                <xdr:colOff>314325</xdr:colOff>
                <xdr:row>1</xdr:row>
                <xdr:rowOff>114300</xdr:rowOff>
              </to>
            </anchor>
          </controlPr>
        </control>
      </mc:Choice>
      <mc:Fallback>
        <control shapeId="144388" r:id="rId16" name="ProgramFileFullName"/>
      </mc:Fallback>
    </mc:AlternateContent>
    <mc:AlternateContent xmlns:mc="http://schemas.openxmlformats.org/markup-compatibility/2006">
      <mc:Choice Requires="x14">
        <control shapeId="144387" r:id="rId18" name="BBSProgram">
          <controlPr defaultSize="0" autoLine="0" autoPict="0" r:id="rId19">
            <anchor moveWithCells="1">
              <from>
                <xdr:col>1</xdr:col>
                <xdr:colOff>152400</xdr:colOff>
                <xdr:row>0</xdr:row>
                <xdr:rowOff>152400</xdr:rowOff>
              </from>
              <to>
                <xdr:col>1</xdr:col>
                <xdr:colOff>152400</xdr:colOff>
                <xdr:row>1</xdr:row>
                <xdr:rowOff>0</xdr:rowOff>
              </to>
            </anchor>
          </controlPr>
        </control>
      </mc:Choice>
      <mc:Fallback>
        <control shapeId="144387" r:id="rId18" name="BBSProgram"/>
      </mc:Fallback>
    </mc:AlternateContent>
    <mc:AlternateContent xmlns:mc="http://schemas.openxmlformats.org/markup-compatibility/2006">
      <mc:Choice Requires="x14">
        <control shapeId="144386" r:id="rId20" name="PrintOptionLabel">
          <controlPr defaultSize="0" autoLine="0" autoPict="0" r:id="rId21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44386" r:id="rId20" name="PrintOptionLabe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pageSetUpPr autoPageBreaks="0" fitToPage="1"/>
  </sheetPr>
  <dimension ref="A1:AK33"/>
  <sheetViews>
    <sheetView topLeftCell="U1" zoomScaleSheetLayoutView="85" workbookViewId="0">
      <pane ySplit="2" topLeftCell="A3" activePane="bottomLeft" state="frozen"/>
      <selection activeCell="T3" sqref="T3"/>
      <selection pane="bottomLeft" activeCell="U3" sqref="U3"/>
    </sheetView>
  </sheetViews>
  <sheetFormatPr defaultRowHeight="26.25" customHeight="1" x14ac:dyDescent="0.2"/>
  <cols>
    <col min="1" max="1" width="5.28515625" style="1" customWidth="1"/>
    <col min="2" max="2" width="15.85546875" style="1" customWidth="1"/>
    <col min="3" max="3" width="4.7109375" style="2" customWidth="1"/>
    <col min="4" max="5" width="5.42578125" style="1" customWidth="1"/>
    <col min="6" max="6" width="6.140625" style="2" customWidth="1"/>
    <col min="7" max="7" width="6.7109375" style="3" customWidth="1"/>
    <col min="8" max="8" width="5.42578125" style="2" customWidth="1"/>
    <col min="9" max="10" width="5.28515625" style="1" customWidth="1"/>
    <col min="11" max="14" width="4.42578125" style="1" customWidth="1"/>
    <col min="15" max="18" width="4.42578125" style="1" hidden="1" customWidth="1"/>
    <col min="19" max="19" width="30.7109375" style="1" customWidth="1"/>
    <col min="20" max="20" width="7.28515625" style="1" customWidth="1"/>
    <col min="21" max="21" width="3" style="3" customWidth="1"/>
    <col min="22" max="22" width="12.140625" style="3" customWidth="1"/>
    <col min="23" max="37" width="9.140625" style="3"/>
    <col min="38" max="16384" width="9.140625" style="1"/>
  </cols>
  <sheetData>
    <row r="1" spans="1:37" ht="12.75" x14ac:dyDescent="0.2">
      <c r="A1" s="27"/>
      <c r="B1" s="27" t="s">
        <v>0</v>
      </c>
      <c r="C1" s="28"/>
      <c r="D1" s="27"/>
      <c r="E1" s="27"/>
      <c r="F1" s="28"/>
      <c r="G1" s="29"/>
      <c r="H1" s="28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V1" s="1"/>
      <c r="W1" s="1"/>
      <c r="X1" s="1"/>
      <c r="Y1" s="1"/>
      <c r="Z1" s="1"/>
      <c r="AA1" s="1"/>
      <c r="AB1" s="1"/>
      <c r="AC1" s="1"/>
      <c r="AD1" s="1"/>
    </row>
    <row r="2" spans="1:37" s="5" customFormat="1" ht="26.25" customHeight="1" x14ac:dyDescent="0.2">
      <c r="A2" s="30" t="s">
        <v>1</v>
      </c>
      <c r="B2" s="30" t="s">
        <v>2</v>
      </c>
      <c r="C2" s="30" t="s">
        <v>3</v>
      </c>
      <c r="D2" s="30" t="s">
        <v>4</v>
      </c>
      <c r="E2" s="30" t="s">
        <v>5</v>
      </c>
      <c r="F2" s="30" t="s">
        <v>24</v>
      </c>
      <c r="G2" s="31" t="s">
        <v>6</v>
      </c>
      <c r="H2" s="32" t="s">
        <v>7</v>
      </c>
      <c r="I2" s="30" t="s">
        <v>8</v>
      </c>
      <c r="J2" s="30" t="s">
        <v>9</v>
      </c>
      <c r="K2" s="30" t="s">
        <v>10</v>
      </c>
      <c r="L2" s="30" t="s">
        <v>11</v>
      </c>
      <c r="M2" s="30" t="s">
        <v>12</v>
      </c>
      <c r="N2" s="30" t="s">
        <v>13</v>
      </c>
      <c r="O2" s="30" t="s">
        <v>14</v>
      </c>
      <c r="P2" s="30" t="s">
        <v>15</v>
      </c>
      <c r="Q2" s="30" t="s">
        <v>25</v>
      </c>
      <c r="R2" s="30" t="s">
        <v>26</v>
      </c>
      <c r="S2" s="30" t="s">
        <v>16</v>
      </c>
      <c r="T2" s="30" t="s">
        <v>22</v>
      </c>
      <c r="U2" s="4"/>
      <c r="AE2" s="4"/>
      <c r="AF2" s="4"/>
      <c r="AG2" s="4"/>
      <c r="AH2" s="4"/>
      <c r="AI2" s="4"/>
      <c r="AJ2" s="4"/>
      <c r="AK2" s="4"/>
    </row>
    <row r="3" spans="1:37" ht="26.25" customHeight="1" x14ac:dyDescent="0.2">
      <c r="A3" s="6"/>
      <c r="B3" s="6"/>
      <c r="C3" s="7"/>
      <c r="D3" s="8"/>
      <c r="E3" s="8"/>
      <c r="F3" s="9">
        <f t="shared" ref="F3:F33" si="0">D3*E3</f>
        <v>0</v>
      </c>
      <c r="G3" s="10"/>
      <c r="H3" s="11"/>
      <c r="I3" s="8"/>
      <c r="J3" s="8"/>
      <c r="K3" s="8"/>
      <c r="L3" s="12"/>
      <c r="M3" s="8"/>
      <c r="N3" s="8"/>
      <c r="O3" s="8"/>
      <c r="P3" s="8"/>
      <c r="Q3" s="8"/>
      <c r="R3" s="8"/>
      <c r="S3" s="13"/>
      <c r="T3" s="34" t="str">
        <f>IF(C3="","",ROUND(CHOOSE(MATCH(C3,{5,6,7,8,10,12,14,16,18,20,22,25,28,32,40},0),0.154,0.222,0.302,0.395,0.617,0.888,1.209,1.579,1.998,2.467,2.985,3.855,4.836,6.316,9.868)*D3*E3*G3/1000,3))</f>
        <v/>
      </c>
      <c r="V3" s="14" t="s">
        <v>23</v>
      </c>
      <c r="W3" s="15"/>
      <c r="X3" s="15"/>
      <c r="Y3" s="15"/>
      <c r="Z3" s="15"/>
      <c r="AA3" s="15"/>
      <c r="AB3" s="15"/>
      <c r="AC3" s="15"/>
      <c r="AD3" s="15"/>
      <c r="AE3" s="16"/>
    </row>
    <row r="4" spans="1:37" ht="26.25" customHeight="1" x14ac:dyDescent="0.2">
      <c r="A4" s="6"/>
      <c r="B4" s="6"/>
      <c r="C4" s="7"/>
      <c r="D4" s="8"/>
      <c r="E4" s="8"/>
      <c r="F4" s="9">
        <f t="shared" si="0"/>
        <v>0</v>
      </c>
      <c r="G4" s="10"/>
      <c r="H4" s="11"/>
      <c r="I4" s="8"/>
      <c r="J4" s="8"/>
      <c r="K4" s="8"/>
      <c r="L4" s="12"/>
      <c r="M4" s="8"/>
      <c r="N4" s="8"/>
      <c r="O4" s="8"/>
      <c r="P4" s="8"/>
      <c r="Q4" s="8"/>
      <c r="R4" s="8"/>
      <c r="S4" s="13"/>
      <c r="T4" s="34" t="str">
        <f>IF(C4="","",ROUND(CHOOSE(MATCH(C4,{5,6,7,8,10,12,14,16,18,20,22,25,28,32,40},0),0.154,0.222,0.302,0.395,0.617,0.888,1.209,1.579,1.998,2.467,2.985,3.855,4.836,6.316,9.868)*D4*E4*G4/1000,3))</f>
        <v/>
      </c>
      <c r="V4" s="17" t="s">
        <v>17</v>
      </c>
      <c r="W4" s="4"/>
      <c r="X4" s="4"/>
      <c r="Y4" s="4"/>
      <c r="Z4" s="4"/>
      <c r="AA4" s="4"/>
      <c r="AB4" s="4"/>
      <c r="AC4" s="4"/>
      <c r="AD4" s="4"/>
      <c r="AE4" s="16"/>
    </row>
    <row r="5" spans="1:37" ht="26.25" customHeight="1" thickBot="1" x14ac:dyDescent="0.25">
      <c r="A5" s="6"/>
      <c r="B5" s="6"/>
      <c r="C5" s="7"/>
      <c r="D5" s="8"/>
      <c r="E5" s="8"/>
      <c r="F5" s="9">
        <f t="shared" si="0"/>
        <v>0</v>
      </c>
      <c r="G5" s="10"/>
      <c r="H5" s="11"/>
      <c r="I5" s="8"/>
      <c r="J5" s="8"/>
      <c r="K5" s="8"/>
      <c r="L5" s="12"/>
      <c r="M5" s="8"/>
      <c r="N5" s="8"/>
      <c r="O5" s="8"/>
      <c r="P5" s="8"/>
      <c r="Q5" s="8"/>
      <c r="R5" s="8"/>
      <c r="S5" s="13"/>
      <c r="T5" s="34" t="str">
        <f>IF(C5="","",ROUND(CHOOSE(MATCH(C5,{5,6,7,8,10,12,14,16,18,20,22,25,28,32,40},0),0.154,0.222,0.302,0.395,0.617,0.888,1.209,1.579,1.998,2.467,2.985,3.855,4.836,6.316,9.868)*D5*E5*G5/1000,3))</f>
        <v/>
      </c>
      <c r="V5" s="17" t="s">
        <v>18</v>
      </c>
      <c r="AE5" s="16"/>
    </row>
    <row r="6" spans="1:37" ht="26.25" customHeight="1" thickTop="1" x14ac:dyDescent="0.2">
      <c r="A6" s="6"/>
      <c r="B6" s="6"/>
      <c r="C6" s="7"/>
      <c r="D6" s="8"/>
      <c r="E6" s="8"/>
      <c r="F6" s="9">
        <f t="shared" si="0"/>
        <v>0</v>
      </c>
      <c r="G6" s="10"/>
      <c r="H6" s="11"/>
      <c r="I6" s="8"/>
      <c r="J6" s="8"/>
      <c r="K6" s="8"/>
      <c r="L6" s="12"/>
      <c r="M6" s="8"/>
      <c r="N6" s="8"/>
      <c r="O6" s="8"/>
      <c r="P6" s="8"/>
      <c r="Q6" s="8"/>
      <c r="R6" s="8"/>
      <c r="S6" s="13"/>
      <c r="T6" s="34" t="str">
        <f>IF(C6="","",ROUND(CHOOSE(MATCH(C6,{5,6,7,8,10,12,14,16,18,20,22,25,28,32,40},0),0.154,0.222,0.302,0.395,0.617,0.888,1.209,1.579,1.998,2.467,2.985,3.855,4.836,6.316,9.868)*D6*E6*G6/1000,3))</f>
        <v/>
      </c>
      <c r="V6" s="18" t="s">
        <v>19</v>
      </c>
      <c r="W6" s="19"/>
      <c r="X6" s="19"/>
      <c r="Y6" s="19"/>
      <c r="Z6" s="19"/>
      <c r="AA6" s="19"/>
      <c r="AB6" s="19"/>
      <c r="AC6" s="19"/>
      <c r="AD6" s="20"/>
      <c r="AE6" s="16"/>
    </row>
    <row r="7" spans="1:37" ht="26.25" customHeight="1" x14ac:dyDescent="0.2">
      <c r="A7" s="6"/>
      <c r="B7" s="6"/>
      <c r="C7" s="7"/>
      <c r="D7" s="8"/>
      <c r="E7" s="8"/>
      <c r="F7" s="9">
        <f t="shared" si="0"/>
        <v>0</v>
      </c>
      <c r="G7" s="10"/>
      <c r="H7" s="11"/>
      <c r="I7" s="8"/>
      <c r="J7" s="8"/>
      <c r="K7" s="8"/>
      <c r="L7" s="12"/>
      <c r="M7" s="8"/>
      <c r="N7" s="8"/>
      <c r="O7" s="8"/>
      <c r="P7" s="8"/>
      <c r="Q7" s="8"/>
      <c r="R7" s="8"/>
      <c r="S7" s="13"/>
      <c r="T7" s="34" t="str">
        <f>IF(C7="","",ROUND(CHOOSE(MATCH(C7,{5,6,7,8,10,12,14,16,18,20,22,25,28,32,40},0),0.154,0.222,0.302,0.395,0.617,0.888,1.209,1.579,1.998,2.467,2.985,3.855,4.836,6.316,9.868)*D7*E7*G7/1000,3))</f>
        <v/>
      </c>
      <c r="V7" s="21" t="s">
        <v>20</v>
      </c>
      <c r="W7" s="22">
        <v>8</v>
      </c>
      <c r="X7" s="22">
        <v>10</v>
      </c>
      <c r="Y7" s="22">
        <v>12</v>
      </c>
      <c r="Z7" s="22">
        <v>16</v>
      </c>
      <c r="AA7" s="22">
        <v>20</v>
      </c>
      <c r="AB7" s="22">
        <v>25</v>
      </c>
      <c r="AC7" s="22">
        <v>32</v>
      </c>
      <c r="AD7" s="23" t="s">
        <v>21</v>
      </c>
      <c r="AE7" s="16"/>
    </row>
    <row r="8" spans="1:37" ht="26.25" customHeight="1" thickBot="1" x14ac:dyDescent="0.25">
      <c r="A8" s="6"/>
      <c r="B8" s="6"/>
      <c r="C8" s="7"/>
      <c r="D8" s="8"/>
      <c r="E8" s="8"/>
      <c r="F8" s="9">
        <f t="shared" si="0"/>
        <v>0</v>
      </c>
      <c r="G8" s="10"/>
      <c r="H8" s="11"/>
      <c r="I8" s="8"/>
      <c r="J8" s="8"/>
      <c r="K8" s="8"/>
      <c r="L8" s="12"/>
      <c r="M8" s="8"/>
      <c r="N8" s="8"/>
      <c r="O8" s="8"/>
      <c r="P8" s="8"/>
      <c r="Q8" s="8"/>
      <c r="R8" s="8"/>
      <c r="S8" s="13"/>
      <c r="T8" s="34" t="str">
        <f>IF(C8="","",ROUND(CHOOSE(MATCH(C8,{5,6,7,8,10,12,14,16,18,20,22,25,28,32,40},0),0.154,0.222,0.302,0.395,0.617,0.888,1.209,1.579,1.998,2.467,2.985,3.855,4.836,6.316,9.868)*D8*E8*G8/1000,3))</f>
        <v/>
      </c>
      <c r="V8" s="24" t="s">
        <v>22</v>
      </c>
      <c r="W8" s="25">
        <f t="shared" ref="W8:AC8" si="1">SUMIF($C:$C,W7,$T:$T)</f>
        <v>0</v>
      </c>
      <c r="X8" s="25">
        <f t="shared" si="1"/>
        <v>0</v>
      </c>
      <c r="Y8" s="25">
        <f t="shared" si="1"/>
        <v>0</v>
      </c>
      <c r="Z8" s="25">
        <f t="shared" si="1"/>
        <v>0</v>
      </c>
      <c r="AA8" s="25">
        <f t="shared" si="1"/>
        <v>0</v>
      </c>
      <c r="AB8" s="25">
        <f t="shared" si="1"/>
        <v>0</v>
      </c>
      <c r="AC8" s="25">
        <f t="shared" si="1"/>
        <v>0</v>
      </c>
      <c r="AD8" s="26">
        <f>SUM(W8:AC8)</f>
        <v>0</v>
      </c>
    </row>
    <row r="9" spans="1:37" ht="26.25" customHeight="1" thickTop="1" x14ac:dyDescent="0.2">
      <c r="A9" s="6"/>
      <c r="B9" s="6"/>
      <c r="C9" s="7"/>
      <c r="D9" s="8"/>
      <c r="E9" s="8"/>
      <c r="F9" s="9">
        <f t="shared" si="0"/>
        <v>0</v>
      </c>
      <c r="G9" s="10"/>
      <c r="H9" s="11"/>
      <c r="I9" s="8"/>
      <c r="J9" s="8"/>
      <c r="K9" s="8"/>
      <c r="L9" s="12"/>
      <c r="M9" s="8"/>
      <c r="N9" s="8"/>
      <c r="O9" s="8"/>
      <c r="P9" s="8"/>
      <c r="Q9" s="8"/>
      <c r="R9" s="8"/>
      <c r="S9" s="13"/>
      <c r="T9" s="34" t="str">
        <f>IF(C9="","",ROUND(CHOOSE(MATCH(C9,{5,6,7,8,10,12,14,16,18,20,22,25,28,32,40},0),0.154,0.222,0.302,0.395,0.617,0.888,1.209,1.579,1.998,2.467,2.985,3.855,4.836,6.316,9.868)*D9*E9*G9/1000,3))</f>
        <v/>
      </c>
    </row>
    <row r="10" spans="1:37" ht="26.25" customHeight="1" x14ac:dyDescent="0.2">
      <c r="A10" s="6"/>
      <c r="B10" s="6"/>
      <c r="C10" s="7"/>
      <c r="D10" s="8"/>
      <c r="E10" s="8"/>
      <c r="F10" s="9">
        <f t="shared" si="0"/>
        <v>0</v>
      </c>
      <c r="G10" s="10"/>
      <c r="H10" s="11"/>
      <c r="I10" s="8"/>
      <c r="J10" s="8"/>
      <c r="K10" s="8"/>
      <c r="L10" s="12"/>
      <c r="M10" s="8"/>
      <c r="N10" s="8"/>
      <c r="O10" s="8"/>
      <c r="P10" s="8"/>
      <c r="Q10" s="8"/>
      <c r="R10" s="8"/>
      <c r="S10" s="13"/>
      <c r="T10" s="34" t="str">
        <f>IF(C10="","",ROUND(CHOOSE(MATCH(C10,{5,6,7,8,10,12,14,16,18,20,22,25,28,32,40},0),0.154,0.222,0.302,0.395,0.617,0.888,1.209,1.579,1.998,2.467,2.985,3.855,4.836,6.316,9.868)*D10*E10*G10/1000,3))</f>
        <v/>
      </c>
    </row>
    <row r="11" spans="1:37" ht="26.25" customHeight="1" x14ac:dyDescent="0.2">
      <c r="A11" s="6"/>
      <c r="B11" s="6"/>
      <c r="C11" s="7"/>
      <c r="D11" s="8"/>
      <c r="E11" s="8"/>
      <c r="F11" s="9">
        <f t="shared" si="0"/>
        <v>0</v>
      </c>
      <c r="G11" s="10"/>
      <c r="H11" s="11"/>
      <c r="I11" s="8"/>
      <c r="J11" s="8"/>
      <c r="K11" s="8"/>
      <c r="L11" s="12"/>
      <c r="M11" s="8"/>
      <c r="N11" s="8"/>
      <c r="O11" s="8"/>
      <c r="P11" s="8"/>
      <c r="Q11" s="8"/>
      <c r="R11" s="8"/>
      <c r="S11" s="13"/>
      <c r="T11" s="34" t="str">
        <f>IF(C11="","",ROUND(CHOOSE(MATCH(C11,{5,6,7,8,10,12,14,16,18,20,22,25,28,32,40},0),0.154,0.222,0.302,0.395,0.617,0.888,1.209,1.579,1.998,2.467,2.985,3.855,4.836,6.316,9.868)*D11*E11*G11/1000,3))</f>
        <v/>
      </c>
    </row>
    <row r="12" spans="1:37" ht="26.25" customHeight="1" x14ac:dyDescent="0.2">
      <c r="A12" s="6"/>
      <c r="B12" s="6"/>
      <c r="C12" s="7"/>
      <c r="D12" s="8"/>
      <c r="E12" s="8"/>
      <c r="F12" s="9">
        <f t="shared" si="0"/>
        <v>0</v>
      </c>
      <c r="G12" s="10"/>
      <c r="H12" s="11"/>
      <c r="I12" s="8"/>
      <c r="J12" s="8"/>
      <c r="K12" s="8"/>
      <c r="L12" s="12"/>
      <c r="M12" s="8"/>
      <c r="N12" s="8"/>
      <c r="O12" s="8"/>
      <c r="P12" s="8"/>
      <c r="Q12" s="8"/>
      <c r="R12" s="8"/>
      <c r="S12" s="13"/>
      <c r="T12" s="34" t="str">
        <f>IF(C12="","",ROUND(CHOOSE(MATCH(C12,{5,6,7,8,10,12,14,16,18,20,22,25,28,32,40},0),0.154,0.222,0.302,0.395,0.617,0.888,1.209,1.579,1.998,2.467,2.985,3.855,4.836,6.316,9.868)*D12*E12*G12/1000,3))</f>
        <v/>
      </c>
    </row>
    <row r="13" spans="1:37" ht="26.25" customHeight="1" x14ac:dyDescent="0.2">
      <c r="A13" s="6"/>
      <c r="B13" s="6"/>
      <c r="C13" s="7"/>
      <c r="D13" s="8"/>
      <c r="E13" s="8"/>
      <c r="F13" s="9">
        <f t="shared" si="0"/>
        <v>0</v>
      </c>
      <c r="G13" s="10"/>
      <c r="H13" s="11"/>
      <c r="I13" s="8"/>
      <c r="J13" s="8"/>
      <c r="K13" s="8"/>
      <c r="L13" s="12"/>
      <c r="M13" s="8"/>
      <c r="N13" s="8"/>
      <c r="O13" s="8"/>
      <c r="P13" s="8"/>
      <c r="Q13" s="8"/>
      <c r="R13" s="8"/>
      <c r="S13" s="13"/>
      <c r="T13" s="34" t="str">
        <f>IF(C13="","",ROUND(CHOOSE(MATCH(C13,{5,6,7,8,10,12,14,16,18,20,22,25,28,32,40},0),0.154,0.222,0.302,0.395,0.617,0.888,1.209,1.579,1.998,2.467,2.985,3.855,4.836,6.316,9.868)*D13*E13*G13/1000,3))</f>
        <v/>
      </c>
    </row>
    <row r="14" spans="1:37" ht="26.25" customHeight="1" x14ac:dyDescent="0.2">
      <c r="A14" s="6"/>
      <c r="B14" s="6"/>
      <c r="C14" s="7"/>
      <c r="D14" s="8"/>
      <c r="E14" s="8"/>
      <c r="F14" s="9">
        <f t="shared" si="0"/>
        <v>0</v>
      </c>
      <c r="G14" s="10"/>
      <c r="H14" s="11"/>
      <c r="I14" s="8"/>
      <c r="J14" s="8"/>
      <c r="K14" s="8"/>
      <c r="L14" s="12"/>
      <c r="M14" s="8"/>
      <c r="N14" s="8"/>
      <c r="O14" s="8"/>
      <c r="P14" s="8"/>
      <c r="Q14" s="8"/>
      <c r="R14" s="8"/>
      <c r="S14" s="13"/>
      <c r="T14" s="34" t="str">
        <f>IF(C14="","",ROUND(CHOOSE(MATCH(C14,{5,6,7,8,10,12,14,16,18,20,22,25,28,32,40},0),0.154,0.222,0.302,0.395,0.617,0.888,1.209,1.579,1.998,2.467,2.985,3.855,4.836,6.316,9.868)*D14*E14*G14/1000,3))</f>
        <v/>
      </c>
    </row>
    <row r="15" spans="1:37" ht="26.25" customHeight="1" x14ac:dyDescent="0.2">
      <c r="A15" s="6"/>
      <c r="B15" s="6"/>
      <c r="C15" s="7"/>
      <c r="D15" s="8"/>
      <c r="E15" s="8"/>
      <c r="F15" s="9">
        <f t="shared" si="0"/>
        <v>0</v>
      </c>
      <c r="G15" s="10"/>
      <c r="H15" s="11"/>
      <c r="I15" s="8"/>
      <c r="J15" s="8"/>
      <c r="K15" s="8"/>
      <c r="L15" s="12"/>
      <c r="M15" s="8"/>
      <c r="N15" s="8"/>
      <c r="O15" s="8"/>
      <c r="P15" s="8"/>
      <c r="Q15" s="8"/>
      <c r="R15" s="8"/>
      <c r="S15" s="13"/>
      <c r="T15" s="34" t="str">
        <f>IF(C15="","",ROUND(CHOOSE(MATCH(C15,{5,6,7,8,10,12,14,16,18,20,22,25,28,32,40},0),0.154,0.222,0.302,0.395,0.617,0.888,1.209,1.579,1.998,2.467,2.985,3.855,4.836,6.316,9.868)*D15*E15*G15/1000,3))</f>
        <v/>
      </c>
    </row>
    <row r="16" spans="1:37" ht="26.25" customHeight="1" x14ac:dyDescent="0.2">
      <c r="A16" s="6"/>
      <c r="B16" s="6"/>
      <c r="C16" s="7"/>
      <c r="D16" s="8"/>
      <c r="E16" s="8"/>
      <c r="F16" s="9"/>
      <c r="G16" s="10"/>
      <c r="H16" s="11"/>
      <c r="I16" s="8"/>
      <c r="J16" s="8"/>
      <c r="K16" s="8"/>
      <c r="L16" s="12"/>
      <c r="M16" s="8"/>
      <c r="N16" s="8"/>
      <c r="O16" s="8"/>
      <c r="P16" s="8"/>
      <c r="Q16" s="8"/>
      <c r="R16" s="8"/>
      <c r="S16" s="13"/>
      <c r="T16" s="34" t="str">
        <f>IF(C16="","",ROUND(CHOOSE(MATCH(C16,{5,6,7,8,10,12,14,16,18,20,22,25,28,32,40},0),0.154,0.222,0.302,0.395,0.617,0.888,1.209,1.579,1.998,2.467,2.985,3.855,4.836,6.316,9.868)*D16*E16*G16/1000,3))</f>
        <v/>
      </c>
    </row>
    <row r="17" spans="1:20" ht="26.25" customHeight="1" x14ac:dyDescent="0.2">
      <c r="A17" s="6"/>
      <c r="B17" s="6"/>
      <c r="C17" s="7"/>
      <c r="D17" s="8"/>
      <c r="E17" s="8"/>
      <c r="F17" s="9">
        <f t="shared" si="0"/>
        <v>0</v>
      </c>
      <c r="G17" s="10"/>
      <c r="H17" s="11"/>
      <c r="I17" s="8"/>
      <c r="J17" s="8"/>
      <c r="K17" s="8"/>
      <c r="L17" s="12"/>
      <c r="M17" s="8"/>
      <c r="N17" s="8"/>
      <c r="O17" s="8"/>
      <c r="P17" s="8"/>
      <c r="Q17" s="8"/>
      <c r="R17" s="8"/>
      <c r="S17" s="13"/>
      <c r="T17" s="34" t="str">
        <f>IF(C17="","",ROUND(CHOOSE(MATCH(C17,{5,6,7,8,10,12,14,16,18,20,22,25,28,32,40},0),0.154,0.222,0.302,0.395,0.617,0.888,1.209,1.579,1.998,2.467,2.985,3.855,4.836,6.316,9.868)*D17*E17*G17/1000,3))</f>
        <v/>
      </c>
    </row>
    <row r="18" spans="1:20" ht="26.25" customHeight="1" x14ac:dyDescent="0.2">
      <c r="A18" s="6"/>
      <c r="B18" s="6"/>
      <c r="C18" s="7"/>
      <c r="D18" s="8"/>
      <c r="E18" s="8"/>
      <c r="F18" s="9">
        <f t="shared" si="0"/>
        <v>0</v>
      </c>
      <c r="G18" s="10"/>
      <c r="H18" s="11"/>
      <c r="I18" s="8"/>
      <c r="J18" s="8"/>
      <c r="K18" s="8"/>
      <c r="L18" s="12"/>
      <c r="M18" s="8"/>
      <c r="N18" s="8"/>
      <c r="O18" s="8"/>
      <c r="P18" s="8"/>
      <c r="Q18" s="8"/>
      <c r="R18" s="8"/>
      <c r="S18" s="13"/>
      <c r="T18" s="34" t="str">
        <f>IF(C18="","",ROUND(CHOOSE(MATCH(C18,{5,6,7,8,10,12,14,16,18,20,22,25,28,32,40},0),0.154,0.222,0.302,0.395,0.617,0.888,1.209,1.579,1.998,2.467,2.985,3.855,4.836,6.316,9.868)*D18*E18*G18/1000,3))</f>
        <v/>
      </c>
    </row>
    <row r="19" spans="1:20" ht="26.25" customHeight="1" x14ac:dyDescent="0.2">
      <c r="A19" s="6"/>
      <c r="B19" s="6"/>
      <c r="C19" s="7"/>
      <c r="D19" s="8"/>
      <c r="E19" s="8"/>
      <c r="F19" s="9">
        <f t="shared" si="0"/>
        <v>0</v>
      </c>
      <c r="G19" s="10"/>
      <c r="H19" s="11"/>
      <c r="I19" s="8"/>
      <c r="J19" s="8"/>
      <c r="K19" s="8"/>
      <c r="L19" s="12"/>
      <c r="M19" s="8"/>
      <c r="N19" s="8"/>
      <c r="O19" s="8"/>
      <c r="P19" s="8"/>
      <c r="Q19" s="8"/>
      <c r="R19" s="8"/>
      <c r="S19" s="13"/>
      <c r="T19" s="34" t="str">
        <f>IF(C19="","",ROUND(CHOOSE(MATCH(C19,{5,6,7,8,10,12,14,16,18,20,22,25,28,32,40},0),0.154,0.222,0.302,0.395,0.617,0.888,1.209,1.579,1.998,2.467,2.985,3.855,4.836,6.316,9.868)*D19*E19*G19/1000,3))</f>
        <v/>
      </c>
    </row>
    <row r="20" spans="1:20" ht="26.25" customHeight="1" x14ac:dyDescent="0.2">
      <c r="A20" s="6"/>
      <c r="B20" s="6"/>
      <c r="C20" s="7"/>
      <c r="D20" s="8"/>
      <c r="E20" s="8"/>
      <c r="F20" s="9">
        <f t="shared" si="0"/>
        <v>0</v>
      </c>
      <c r="G20" s="10"/>
      <c r="H20" s="11"/>
      <c r="I20" s="8"/>
      <c r="J20" s="8"/>
      <c r="K20" s="8"/>
      <c r="L20" s="12"/>
      <c r="M20" s="8"/>
      <c r="N20" s="8"/>
      <c r="O20" s="8"/>
      <c r="P20" s="8"/>
      <c r="Q20" s="8"/>
      <c r="R20" s="8"/>
      <c r="S20" s="13"/>
      <c r="T20" s="34" t="str">
        <f>IF(C20="","",ROUND(CHOOSE(MATCH(C20,{5,6,7,8,10,12,14,16,18,20,22,25,28,32,40},0),0.154,0.222,0.302,0.395,0.617,0.888,1.209,1.579,1.998,2.467,2.985,3.855,4.836,6.316,9.868)*D20*E20*G20/1000,3))</f>
        <v/>
      </c>
    </row>
    <row r="21" spans="1:20" ht="26.25" customHeight="1" x14ac:dyDescent="0.2">
      <c r="A21" s="6"/>
      <c r="B21" s="6"/>
      <c r="C21" s="7"/>
      <c r="D21" s="8"/>
      <c r="E21" s="8"/>
      <c r="F21" s="9">
        <f t="shared" si="0"/>
        <v>0</v>
      </c>
      <c r="G21" s="10"/>
      <c r="H21" s="11"/>
      <c r="I21" s="8"/>
      <c r="J21" s="8"/>
      <c r="K21" s="8"/>
      <c r="L21" s="12"/>
      <c r="M21" s="8"/>
      <c r="N21" s="8"/>
      <c r="O21" s="8"/>
      <c r="P21" s="8"/>
      <c r="Q21" s="8"/>
      <c r="R21" s="8"/>
      <c r="S21" s="13"/>
      <c r="T21" s="34" t="str">
        <f>IF(C21="","",ROUND(CHOOSE(MATCH(C21,{5,6,7,8,10,12,14,16,18,20,22,25,28,32,40},0),0.154,0.222,0.302,0.395,0.617,0.888,1.209,1.579,1.998,2.467,2.985,3.855,4.836,6.316,9.868)*D21*E21*G21/1000,3))</f>
        <v/>
      </c>
    </row>
    <row r="22" spans="1:20" ht="26.25" customHeight="1" x14ac:dyDescent="0.2">
      <c r="A22" s="6"/>
      <c r="B22" s="6"/>
      <c r="C22" s="7"/>
      <c r="D22" s="8"/>
      <c r="E22" s="8"/>
      <c r="F22" s="9">
        <f t="shared" si="0"/>
        <v>0</v>
      </c>
      <c r="G22" s="10"/>
      <c r="H22" s="11"/>
      <c r="I22" s="8"/>
      <c r="J22" s="8"/>
      <c r="K22" s="8"/>
      <c r="L22" s="12"/>
      <c r="M22" s="8"/>
      <c r="N22" s="8"/>
      <c r="O22" s="8"/>
      <c r="P22" s="8"/>
      <c r="Q22" s="8"/>
      <c r="R22" s="8"/>
      <c r="S22" s="13"/>
      <c r="T22" s="34" t="str">
        <f>IF(C22="","",ROUND(CHOOSE(MATCH(C22,{5,6,7,8,10,12,14,16,18,20,22,25,28,32,40},0),0.154,0.222,0.302,0.395,0.617,0.888,1.209,1.579,1.998,2.467,2.985,3.855,4.836,6.316,9.868)*D22*E22*G22/1000,3))</f>
        <v/>
      </c>
    </row>
    <row r="23" spans="1:20" ht="26.25" customHeight="1" x14ac:dyDescent="0.2">
      <c r="A23" s="6"/>
      <c r="B23" s="6"/>
      <c r="C23" s="7"/>
      <c r="D23" s="8"/>
      <c r="E23" s="8"/>
      <c r="F23" s="9">
        <f t="shared" si="0"/>
        <v>0</v>
      </c>
      <c r="G23" s="10"/>
      <c r="H23" s="11"/>
      <c r="I23" s="8"/>
      <c r="J23" s="8"/>
      <c r="K23" s="8"/>
      <c r="L23" s="12"/>
      <c r="M23" s="8"/>
      <c r="N23" s="8"/>
      <c r="O23" s="8"/>
      <c r="P23" s="8"/>
      <c r="Q23" s="8"/>
      <c r="R23" s="8"/>
      <c r="S23" s="13"/>
      <c r="T23" s="34" t="str">
        <f>IF(C23="","",ROUND(CHOOSE(MATCH(C23,{5,6,7,8,10,12,14,16,18,20,22,25,28,32,40},0),0.154,0.222,0.302,0.395,0.617,0.888,1.209,1.579,1.998,2.467,2.985,3.855,4.836,6.316,9.868)*D23*E23*G23/1000,3))</f>
        <v/>
      </c>
    </row>
    <row r="24" spans="1:20" ht="26.25" customHeight="1" x14ac:dyDescent="0.2">
      <c r="A24" s="6"/>
      <c r="B24" s="6"/>
      <c r="C24" s="7"/>
      <c r="D24" s="8"/>
      <c r="E24" s="8"/>
      <c r="F24" s="9">
        <f t="shared" si="0"/>
        <v>0</v>
      </c>
      <c r="G24" s="10"/>
      <c r="H24" s="11"/>
      <c r="I24" s="8"/>
      <c r="J24" s="8"/>
      <c r="K24" s="8"/>
      <c r="L24" s="12"/>
      <c r="M24" s="8"/>
      <c r="N24" s="8"/>
      <c r="O24" s="8"/>
      <c r="P24" s="8"/>
      <c r="Q24" s="8"/>
      <c r="R24" s="8"/>
      <c r="S24" s="13"/>
      <c r="T24" s="34" t="str">
        <f>IF(C24="","",ROUND(CHOOSE(MATCH(C24,{5,6,7,8,10,12,14,16,18,20,22,25,28,32,40},0),0.154,0.222,0.302,0.395,0.617,0.888,1.209,1.579,1.998,2.467,2.985,3.855,4.836,6.316,9.868)*D24*E24*G24/1000,3))</f>
        <v/>
      </c>
    </row>
    <row r="25" spans="1:20" ht="26.25" customHeight="1" x14ac:dyDescent="0.2">
      <c r="A25" s="6"/>
      <c r="B25" s="6"/>
      <c r="C25" s="7"/>
      <c r="D25" s="8"/>
      <c r="E25" s="8"/>
      <c r="F25" s="9">
        <f t="shared" si="0"/>
        <v>0</v>
      </c>
      <c r="G25" s="10"/>
      <c r="H25" s="11"/>
      <c r="I25" s="8"/>
      <c r="J25" s="8"/>
      <c r="K25" s="8"/>
      <c r="L25" s="12"/>
      <c r="M25" s="8"/>
      <c r="N25" s="8"/>
      <c r="O25" s="8"/>
      <c r="P25" s="8"/>
      <c r="Q25" s="8"/>
      <c r="R25" s="8"/>
      <c r="S25" s="13"/>
      <c r="T25" s="34" t="str">
        <f>IF(C25="","",ROUND(CHOOSE(MATCH(C25,{5,6,7,8,10,12,14,16,18,20,22,25,28,32,40},0),0.154,0.222,0.302,0.395,0.617,0.888,1.209,1.579,1.998,2.467,2.985,3.855,4.836,6.316,9.868)*D25*E25*G25/1000,3))</f>
        <v/>
      </c>
    </row>
    <row r="26" spans="1:20" ht="26.25" customHeight="1" x14ac:dyDescent="0.2">
      <c r="A26" s="6"/>
      <c r="B26" s="6"/>
      <c r="C26" s="7"/>
      <c r="D26" s="8"/>
      <c r="E26" s="8"/>
      <c r="F26" s="9">
        <f t="shared" si="0"/>
        <v>0</v>
      </c>
      <c r="G26" s="10"/>
      <c r="H26" s="11"/>
      <c r="I26" s="8"/>
      <c r="J26" s="8"/>
      <c r="K26" s="8"/>
      <c r="L26" s="12"/>
      <c r="M26" s="8"/>
      <c r="N26" s="8"/>
      <c r="O26" s="8"/>
      <c r="P26" s="8"/>
      <c r="Q26" s="8"/>
      <c r="R26" s="8"/>
      <c r="S26" s="13"/>
      <c r="T26" s="34" t="str">
        <f>IF(C26="","",ROUND(CHOOSE(MATCH(C26,{5,6,7,8,10,12,14,16,18,20,22,25,28,32,40},0),0.154,0.222,0.302,0.395,0.617,0.888,1.209,1.579,1.998,2.467,2.985,3.855,4.836,6.316,9.868)*D26*E26*G26/1000,3))</f>
        <v/>
      </c>
    </row>
    <row r="27" spans="1:20" ht="26.25" customHeight="1" x14ac:dyDescent="0.2">
      <c r="A27" s="6"/>
      <c r="B27" s="6"/>
      <c r="C27" s="7"/>
      <c r="D27" s="8"/>
      <c r="E27" s="8"/>
      <c r="F27" s="9">
        <f t="shared" si="0"/>
        <v>0</v>
      </c>
      <c r="G27" s="10"/>
      <c r="H27" s="11"/>
      <c r="I27" s="8"/>
      <c r="J27" s="8"/>
      <c r="K27" s="8"/>
      <c r="L27" s="12"/>
      <c r="M27" s="8"/>
      <c r="N27" s="8"/>
      <c r="O27" s="8"/>
      <c r="P27" s="8"/>
      <c r="Q27" s="8"/>
      <c r="R27" s="8"/>
      <c r="S27" s="13"/>
      <c r="T27" s="34" t="str">
        <f>IF(C27="","",ROUND(CHOOSE(MATCH(C27,{5,6,7,8,10,12,14,16,18,20,22,25,28,32,40},0),0.154,0.222,0.302,0.395,0.617,0.888,1.209,1.579,1.998,2.467,2.985,3.855,4.836,6.316,9.868)*D27*E27*G27/1000,3))</f>
        <v/>
      </c>
    </row>
    <row r="28" spans="1:20" ht="26.25" customHeight="1" x14ac:dyDescent="0.2">
      <c r="A28" s="6"/>
      <c r="B28" s="6"/>
      <c r="C28" s="7"/>
      <c r="D28" s="8"/>
      <c r="E28" s="8"/>
      <c r="F28" s="9">
        <f t="shared" si="0"/>
        <v>0</v>
      </c>
      <c r="G28" s="10"/>
      <c r="H28" s="11"/>
      <c r="I28" s="8"/>
      <c r="J28" s="8"/>
      <c r="K28" s="8"/>
      <c r="L28" s="12"/>
      <c r="M28" s="8"/>
      <c r="N28" s="8"/>
      <c r="O28" s="8"/>
      <c r="P28" s="8"/>
      <c r="Q28" s="8"/>
      <c r="R28" s="8"/>
      <c r="S28" s="13"/>
      <c r="T28" s="34" t="str">
        <f>IF(C28="","",ROUND(CHOOSE(MATCH(C28,{5,6,7,8,10,12,14,16,18,20,22,25,28,32,40},0),0.154,0.222,0.302,0.395,0.617,0.888,1.209,1.579,1.998,2.467,2.985,3.855,4.836,6.316,9.868)*D28*E28*G28/1000,3))</f>
        <v/>
      </c>
    </row>
    <row r="29" spans="1:20" ht="26.25" customHeight="1" x14ac:dyDescent="0.2">
      <c r="A29" s="6"/>
      <c r="B29" s="6"/>
      <c r="C29" s="7"/>
      <c r="D29" s="8"/>
      <c r="E29" s="8"/>
      <c r="F29" s="9">
        <f t="shared" si="0"/>
        <v>0</v>
      </c>
      <c r="G29" s="10"/>
      <c r="H29" s="11"/>
      <c r="I29" s="8"/>
      <c r="J29" s="8"/>
      <c r="K29" s="8"/>
      <c r="L29" s="12"/>
      <c r="M29" s="8"/>
      <c r="N29" s="8"/>
      <c r="O29" s="8"/>
      <c r="P29" s="8"/>
      <c r="Q29" s="8"/>
      <c r="R29" s="8"/>
      <c r="S29" s="13"/>
      <c r="T29" s="34" t="str">
        <f>IF(C29="","",ROUND(CHOOSE(MATCH(C29,{5,6,7,8,10,12,14,16,18,20,22,25,28,32,40},0),0.154,0.222,0.302,0.395,0.617,0.888,1.209,1.579,1.998,2.467,2.985,3.855,4.836,6.316,9.868)*D29*E29*G29/1000,3))</f>
        <v/>
      </c>
    </row>
    <row r="30" spans="1:20" ht="26.25" customHeight="1" x14ac:dyDescent="0.2">
      <c r="A30" s="6"/>
      <c r="B30" s="6"/>
      <c r="C30" s="7"/>
      <c r="D30" s="8"/>
      <c r="E30" s="8"/>
      <c r="F30" s="9">
        <f t="shared" si="0"/>
        <v>0</v>
      </c>
      <c r="G30" s="10"/>
      <c r="H30" s="11"/>
      <c r="I30" s="8"/>
      <c r="J30" s="8"/>
      <c r="K30" s="8"/>
      <c r="L30" s="12"/>
      <c r="M30" s="8"/>
      <c r="N30" s="8"/>
      <c r="O30" s="8"/>
      <c r="P30" s="8"/>
      <c r="Q30" s="8"/>
      <c r="R30" s="8"/>
      <c r="S30" s="13"/>
      <c r="T30" s="34" t="str">
        <f>IF(C30="","",ROUND(CHOOSE(MATCH(C30,{5,6,7,8,10,12,14,16,18,20,22,25,28,32,40},0),0.154,0.222,0.302,0.395,0.617,0.888,1.209,1.579,1.998,2.467,2.985,3.855,4.836,6.316,9.868)*D30*E30*G30/1000,3))</f>
        <v/>
      </c>
    </row>
    <row r="31" spans="1:20" ht="26.25" customHeight="1" x14ac:dyDescent="0.2">
      <c r="A31" s="6"/>
      <c r="B31" s="6"/>
      <c r="C31" s="7"/>
      <c r="D31" s="8"/>
      <c r="E31" s="8"/>
      <c r="F31" s="9">
        <f t="shared" si="0"/>
        <v>0</v>
      </c>
      <c r="G31" s="10"/>
      <c r="H31" s="11"/>
      <c r="I31" s="8"/>
      <c r="J31" s="8"/>
      <c r="K31" s="8"/>
      <c r="L31" s="12"/>
      <c r="M31" s="8"/>
      <c r="N31" s="8"/>
      <c r="O31" s="8"/>
      <c r="P31" s="8"/>
      <c r="Q31" s="8"/>
      <c r="R31" s="8"/>
      <c r="S31" s="13"/>
      <c r="T31" s="34" t="str">
        <f>IF(C31="","",ROUND(CHOOSE(MATCH(C31,{5,6,7,8,10,12,14,16,18,20,22,25,28,32,40},0),0.154,0.222,0.302,0.395,0.617,0.888,1.209,1.579,1.998,2.467,2.985,3.855,4.836,6.316,9.868)*D31*E31*G31/1000,3))</f>
        <v/>
      </c>
    </row>
    <row r="32" spans="1:20" ht="26.25" customHeight="1" x14ac:dyDescent="0.2">
      <c r="A32" s="6"/>
      <c r="B32" s="6"/>
      <c r="C32" s="7"/>
      <c r="D32" s="8"/>
      <c r="E32" s="8"/>
      <c r="F32" s="9">
        <f t="shared" si="0"/>
        <v>0</v>
      </c>
      <c r="G32" s="10"/>
      <c r="H32" s="11"/>
      <c r="I32" s="8"/>
      <c r="J32" s="8"/>
      <c r="K32" s="8"/>
      <c r="L32" s="12"/>
      <c r="M32" s="8"/>
      <c r="N32" s="8"/>
      <c r="O32" s="8"/>
      <c r="P32" s="8"/>
      <c r="Q32" s="8"/>
      <c r="R32" s="8"/>
      <c r="S32" s="13"/>
      <c r="T32" s="34" t="str">
        <f>IF(C32="","",ROUND(CHOOSE(MATCH(C32,{5,6,7,8,10,12,14,16,18,20,22,25,28,32,40},0),0.154,0.222,0.302,0.395,0.617,0.888,1.209,1.579,1.998,2.467,2.985,3.855,4.836,6.316,9.868)*D32*E32*G32/1000,3))</f>
        <v/>
      </c>
    </row>
    <row r="33" spans="1:20" ht="26.25" customHeight="1" x14ac:dyDescent="0.2">
      <c r="A33" s="6"/>
      <c r="B33" s="6"/>
      <c r="C33" s="7"/>
      <c r="D33" s="8"/>
      <c r="E33" s="8"/>
      <c r="F33" s="9">
        <f t="shared" si="0"/>
        <v>0</v>
      </c>
      <c r="G33" s="10"/>
      <c r="H33" s="11"/>
      <c r="I33" s="8"/>
      <c r="J33" s="8"/>
      <c r="K33" s="8"/>
      <c r="L33" s="12"/>
      <c r="M33" s="8"/>
      <c r="N33" s="8"/>
      <c r="O33" s="8"/>
      <c r="P33" s="8"/>
      <c r="Q33" s="8"/>
      <c r="R33" s="8"/>
      <c r="S33" s="13"/>
      <c r="T33" s="34" t="str">
        <f>IF(C33="","",ROUND(CHOOSE(MATCH(C33,{5,6,7,8,10,12,14,16,18,20,22,25,28,32,40},0),0.154,0.222,0.302,0.395,0.617,0.888,1.209,1.579,1.998,2.467,2.985,3.855,4.836,6.316,9.868)*D33*E33*G33/1000,3))</f>
        <v/>
      </c>
    </row>
  </sheetData>
  <phoneticPr fontId="2" type="noConversion"/>
  <dataValidations count="2">
    <dataValidation type="whole" allowBlank="1" showInputMessage="1" showErrorMessage="1" errorTitle="Bar size is not correct" error="Don't type any letters (like &quot;mm&quot; or &quot;T&quot;) with the dia of bar. Put the diameter number only." sqref="W7:AC7">
      <formula1>6</formula1>
      <formula2>40</formula2>
    </dataValidation>
    <dataValidation type="custom" allowBlank="1" showDropDown="1" showInputMessage="1" showErrorMessage="1" errorTitle="Bar size limitation" error="Data&gt; Validation limited for bar sizes 5,6,7,8,10,12,14,16,18,20,22,25,28,32,40._x000a_Don't type any letters (like &quot;mm&quot; or &quot;T&quot;) with the dia of bar." sqref="C3:C33">
      <formula1>OR(C3=5,C3=6,,C3=7,C3=8,C3=10,C3=12,C3=14,C3=16,C3=18,C3=20,C3=22,C3=25,C3=28,C3=32,C3=40)</formula1>
    </dataValidation>
  </dataValidations>
  <printOptions horizontalCentered="1"/>
  <pageMargins left="0.51181102362204722" right="0" top="0.11811023622047245" bottom="0.59055118110236227" header="0.11811023622047245" footer="0"/>
  <pageSetup paperSize="9" fitToHeight="0" orientation="portrait" r:id="rId1"/>
  <headerFooter alignWithMargins="0">
    <oddHeader>&amp;R&amp;8Page №:(&amp;P)</oddHeader>
    <oddFooter>&amp;R&amp;"Tahoma,Regular"Prepared by                                            Checked b&amp;"Arial,Regular"y&amp;LUnregistered version of BBS Program
www.BendingSchedule.com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MacroDisabledInformation">
          <controlPr defaultSize="0" print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13</xdr:col>
                <xdr:colOff>171450</xdr:colOff>
                <xdr:row>7</xdr:row>
                <xdr:rowOff>133350</xdr:rowOff>
              </to>
            </anchor>
          </controlPr>
        </control>
      </mc:Choice>
      <mc:Fallback>
        <control shapeId="2049" r:id="rId4" name="MacroDisabledInformation"/>
      </mc:Fallback>
    </mc:AlternateContent>
    <mc:AlternateContent xmlns:mc="http://schemas.openxmlformats.org/markup-compatibility/2006">
      <mc:Choice Requires="x14">
        <control shapeId="2050" r:id="rId6" name="PrintOptionLabel">
          <controlPr defaultSize="0" autoLine="0" autoPict="0" r:id="rId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050" r:id="rId6" name="PrintOptionLabel"/>
      </mc:Fallback>
    </mc:AlternateContent>
    <mc:AlternateContent xmlns:mc="http://schemas.openxmlformats.org/markup-compatibility/2006">
      <mc:Choice Requires="x14">
        <control shapeId="2051" r:id="rId8" name="BBSProgram">
          <controlPr defaultSize="0" autoLine="0" autoPict="0" r:id="rId9">
            <anchor moveWithCells="1">
              <from>
                <xdr:col>1</xdr:col>
                <xdr:colOff>152400</xdr:colOff>
                <xdr:row>0</xdr:row>
                <xdr:rowOff>152400</xdr:rowOff>
              </from>
              <to>
                <xdr:col>1</xdr:col>
                <xdr:colOff>152400</xdr:colOff>
                <xdr:row>1</xdr:row>
                <xdr:rowOff>0</xdr:rowOff>
              </to>
            </anchor>
          </controlPr>
        </control>
      </mc:Choice>
      <mc:Fallback>
        <control shapeId="2051" r:id="rId8" name="BBSProgram"/>
      </mc:Fallback>
    </mc:AlternateContent>
    <mc:AlternateContent xmlns:mc="http://schemas.openxmlformats.org/markup-compatibility/2006">
      <mc:Choice Requires="x14">
        <control shapeId="2052" r:id="rId10" name="ProgramFileFullName">
          <controlPr defaultSize="0" autoLine="0" autoPict="0" r:id="rId11">
            <anchor moveWithCells="1">
              <from>
                <xdr:col>1</xdr:col>
                <xdr:colOff>304800</xdr:colOff>
                <xdr:row>1</xdr:row>
                <xdr:rowOff>104775</xdr:rowOff>
              </from>
              <to>
                <xdr:col>1</xdr:col>
                <xdr:colOff>314325</xdr:colOff>
                <xdr:row>1</xdr:row>
                <xdr:rowOff>114300</xdr:rowOff>
              </to>
            </anchor>
          </controlPr>
        </control>
      </mc:Choice>
      <mc:Fallback>
        <control shapeId="2052" r:id="rId10" name="ProgramFileFullName"/>
      </mc:Fallback>
    </mc:AlternateContent>
    <mc:AlternateContent xmlns:mc="http://schemas.openxmlformats.org/markup-compatibility/2006">
      <mc:Choice Requires="x14">
        <control shapeId="2053" r:id="rId12" name="AutomaticallyOpenProgramFile">
          <controlPr defaultSize="0" autoLine="0" autoPict="0" r:id="rId13">
            <anchor moveWithCells="1">
              <from>
                <xdr:col>1</xdr:col>
                <xdr:colOff>457200</xdr:colOff>
                <xdr:row>1</xdr:row>
                <xdr:rowOff>257175</xdr:rowOff>
              </from>
              <to>
                <xdr:col>1</xdr:col>
                <xdr:colOff>466725</xdr:colOff>
                <xdr:row>1</xdr:row>
                <xdr:rowOff>266700</xdr:rowOff>
              </to>
            </anchor>
          </controlPr>
        </control>
      </mc:Choice>
      <mc:Fallback>
        <control shapeId="2053" r:id="rId12" name="AutomaticallyOpenProgramFile"/>
      </mc:Fallback>
    </mc:AlternateContent>
    <mc:AlternateContent xmlns:mc="http://schemas.openxmlformats.org/markup-compatibility/2006">
      <mc:Choice Requires="x14">
        <control shapeId="2054" r:id="rId14" name="CodeColumn">
          <controlPr defaultSize="0" autoLine="0" r:id="rId15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76200</xdr:colOff>
                <xdr:row>0</xdr:row>
                <xdr:rowOff>76200</xdr:rowOff>
              </to>
            </anchor>
          </controlPr>
        </control>
      </mc:Choice>
      <mc:Fallback>
        <control shapeId="2054" r:id="rId14" name="CodeColumn"/>
      </mc:Fallback>
    </mc:AlternateContent>
    <mc:AlternateContent xmlns:mc="http://schemas.openxmlformats.org/markup-compatibility/2006">
      <mc:Choice Requires="x14">
        <control shapeId="2055" r:id="rId16" name="LastRowOfSummary">
          <controlPr defaultSize="0" autoLine="0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055" r:id="rId16" name="LastRowOfSummary"/>
      </mc:Fallback>
    </mc:AlternateContent>
    <mc:AlternateContent xmlns:mc="http://schemas.openxmlformats.org/markup-compatibility/2006">
      <mc:Choice Requires="x14">
        <control shapeId="2056" r:id="rId18" name="PrintOptionInformer">
          <controlPr defaultSize="0" print="0" autoLine="0" r:id="rId19">
            <anchor moveWithCells="1">
              <from>
                <xdr:col>18</xdr:col>
                <xdr:colOff>466725</xdr:colOff>
                <xdr:row>0</xdr:row>
                <xdr:rowOff>0</xdr:rowOff>
              </from>
              <to>
                <xdr:col>18</xdr:col>
                <xdr:colOff>1514475</xdr:colOff>
                <xdr:row>1</xdr:row>
                <xdr:rowOff>180975</xdr:rowOff>
              </to>
            </anchor>
          </controlPr>
        </control>
      </mc:Choice>
      <mc:Fallback>
        <control shapeId="2056" r:id="rId18" name="PrintOptionInformer"/>
      </mc:Fallback>
    </mc:AlternateContent>
    <mc:AlternateContent xmlns:mc="http://schemas.openxmlformats.org/markup-compatibility/2006">
      <mc:Choice Requires="x14">
        <control shapeId="2057" r:id="rId20" name="Guidelines">
          <controlPr defaultSize="0" print="0" autoLine="0" autoPict="0" r:id="rId21">
            <anchor moveWithCells="1" sizeWithCells="1">
              <from>
                <xdr:col>21</xdr:col>
                <xdr:colOff>114300</xdr:colOff>
                <xdr:row>10</xdr:row>
                <xdr:rowOff>76200</xdr:rowOff>
              </from>
              <to>
                <xdr:col>29</xdr:col>
                <xdr:colOff>476250</xdr:colOff>
                <xdr:row>20</xdr:row>
                <xdr:rowOff>238125</xdr:rowOff>
              </to>
            </anchor>
          </controlPr>
        </control>
      </mc:Choice>
      <mc:Fallback>
        <control shapeId="2057" r:id="rId20" name="Guidelines"/>
      </mc:Fallback>
    </mc:AlternateContent>
    <mc:AlternateContent xmlns:mc="http://schemas.openxmlformats.org/markup-compatibility/2006">
      <mc:Choice Requires="x14">
        <control shapeId="2058" r:id="rId22" name="SaveTemplete">
          <controlPr defaultSize="0" print="0" autoLine="0" r:id="rId23">
            <anchor moveWithCells="1">
              <from>
                <xdr:col>21</xdr:col>
                <xdr:colOff>114300</xdr:colOff>
                <xdr:row>8</xdr:row>
                <xdr:rowOff>114300</xdr:rowOff>
              </from>
              <to>
                <xdr:col>23</xdr:col>
                <xdr:colOff>200025</xdr:colOff>
                <xdr:row>9</xdr:row>
                <xdr:rowOff>47625</xdr:rowOff>
              </to>
            </anchor>
          </controlPr>
        </control>
      </mc:Choice>
      <mc:Fallback>
        <control shapeId="2058" r:id="rId22" name="SaveTemplete"/>
      </mc:Fallback>
    </mc:AlternateContent>
    <mc:AlternateContent xmlns:mc="http://schemas.openxmlformats.org/markup-compatibility/2006">
      <mc:Choice Requires="x14">
        <control shapeId="2059" r:id="rId24" name="DoNotTypeInTemplate">
          <controlPr defaultSize="0" print="0" autoLine="0" r:id="rId25">
            <anchor>
              <from>
                <xdr:col>1</xdr:col>
                <xdr:colOff>104775</xdr:colOff>
                <xdr:row>7</xdr:row>
                <xdr:rowOff>276225</xdr:rowOff>
              </from>
              <to>
                <xdr:col>18</xdr:col>
                <xdr:colOff>1590675</xdr:colOff>
                <xdr:row>12</xdr:row>
                <xdr:rowOff>285750</xdr:rowOff>
              </to>
            </anchor>
          </controlPr>
        </control>
      </mc:Choice>
      <mc:Fallback>
        <control shapeId="2059" r:id="rId24" name="DoNotTypeInTemplate"/>
      </mc:Fallback>
    </mc:AlternateContent>
    <mc:AlternateContent xmlns:mc="http://schemas.openxmlformats.org/markup-compatibility/2006">
      <mc:Choice Requires="x14">
        <control shapeId="2060" r:id="rId26" name="Capitalization">
          <controlPr defaultSize="0" autoLine="0" autoPict="0" r:id="rId27">
            <anchor moveWithCells="1">
              <from>
                <xdr:col>1</xdr:col>
                <xdr:colOff>609600</xdr:colOff>
                <xdr:row>2</xdr:row>
                <xdr:rowOff>0</xdr:rowOff>
              </from>
              <to>
                <xdr:col>1</xdr:col>
                <xdr:colOff>619125</xdr:colOff>
                <xdr:row>2</xdr:row>
                <xdr:rowOff>9525</xdr:rowOff>
              </to>
            </anchor>
          </controlPr>
        </control>
      </mc:Choice>
      <mc:Fallback>
        <control shapeId="2060" r:id="rId26" name="Capitalization"/>
      </mc:Fallback>
    </mc:AlternateContent>
    <mc:AlternateContent xmlns:mc="http://schemas.openxmlformats.org/markup-compatibility/2006">
      <mc:Choice Requires="x14">
        <control shapeId="2061" r:id="rId28" name="Registered">
          <controlPr defaultSize="0" autoLine="0" r:id="rId29">
            <anchor moveWithCells="1">
              <from>
                <xdr:col>0</xdr:col>
                <xdr:colOff>152400</xdr:colOff>
                <xdr:row>0</xdr:row>
                <xdr:rowOff>152400</xdr:rowOff>
              </from>
              <to>
                <xdr:col>0</xdr:col>
                <xdr:colOff>161925</xdr:colOff>
                <xdr:row>1</xdr:row>
                <xdr:rowOff>0</xdr:rowOff>
              </to>
            </anchor>
          </controlPr>
        </control>
      </mc:Choice>
      <mc:Fallback>
        <control shapeId="2061" r:id="rId28" name="Registered"/>
      </mc:Fallback>
    </mc:AlternateContent>
    <mc:AlternateContent xmlns:mc="http://schemas.openxmlformats.org/markup-compatibility/2006">
      <mc:Choice Requires="x14">
        <control shapeId="2062" r:id="rId30" name="Open_OptionsForm">
          <controlPr defaultSize="0" print="0" autoLine="0" r:id="rId31">
            <anchor moveWithCells="1">
              <from>
                <xdr:col>20</xdr:col>
                <xdr:colOff>19050</xdr:colOff>
                <xdr:row>0</xdr:row>
                <xdr:rowOff>0</xdr:rowOff>
              </from>
              <to>
                <xdr:col>21</xdr:col>
                <xdr:colOff>428625</xdr:colOff>
                <xdr:row>1</xdr:row>
                <xdr:rowOff>66675</xdr:rowOff>
              </to>
            </anchor>
          </controlPr>
        </control>
      </mc:Choice>
      <mc:Fallback>
        <control shapeId="2062" r:id="rId30" name="Open_OptionsFor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Sheet(3)</vt:lpstr>
      <vt:lpstr>'Sheet()'!Print_Area</vt:lpstr>
      <vt:lpstr>'Sheet(3)'!Print_Area</vt:lpstr>
      <vt:lpstr>'Sheet()'!Print_Titles</vt:lpstr>
      <vt:lpstr>'Sheet(3)'!Print_Titles</vt:lpstr>
    </vt:vector>
  </TitlesOfParts>
  <Company>BendingSchedule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Bar Bending Schedule Program in Microsoft Excel</dc:title>
  <dc:subject>Civil Engineering</dc:subject>
  <dc:creator>Sivaprasad Sreedhara Panicker</dc:creator>
  <cp:keywords>BBS Format</cp:keywords>
  <dc:description>Shortcut keys: Ctrl+Q (in BBS Program)_x000d_
Ctrl+T (in BBS Format)</dc:description>
  <cp:lastModifiedBy>Windows User</cp:lastModifiedBy>
  <cp:lastPrinted>2013-01-07T10:45:24Z</cp:lastPrinted>
  <dcterms:created xsi:type="dcterms:W3CDTF">2009-08-14T06:00:06Z</dcterms:created>
  <dcterms:modified xsi:type="dcterms:W3CDTF">2020-06-13T20:30:58Z</dcterms:modified>
  <cp:category>RCC Structural Works;Reinforcement Steel</cp:category>
  <cp:contentStatus>© Copyrighted S.S.Panicker www.BendingSchedule.com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ct">
    <vt:lpwstr>BBS Program</vt:lpwstr>
  </property>
  <property fmtid="{D5CDD505-2E9C-101B-9397-08002B2CF9AE}" pid="3" name="Purpose">
    <vt:lpwstr>RCC Works</vt:lpwstr>
  </property>
  <property fmtid="{D5CDD505-2E9C-101B-9397-08002B2CF9AE}" pid="4" name="Recorded Date">
    <vt:filetime>2009-08-13T20:00:00Z</vt:filetime>
  </property>
  <property fmtid="{D5CDD505-2E9C-101B-9397-08002B2CF9AE}" pid="5" name="Date Completed">
    <vt:filetime>2009-12-13T20:00:00Z</vt:filetime>
  </property>
  <property fmtid="{D5CDD505-2E9C-101B-9397-08002B2CF9AE}" pid="6" name="Owner">
    <vt:lpwstr>S.S.Panicker</vt:lpwstr>
  </property>
</Properties>
</file>